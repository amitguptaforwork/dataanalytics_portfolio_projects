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D:\Knowledge\DataScience\CODE_AND_PROJECTS\CaseStudyLoanTap\"/>
    </mc:Choice>
  </mc:AlternateContent>
  <xr:revisionPtr revIDLastSave="0" documentId="13_ncr:1_{7276822A-66E0-4BC5-9309-DA2D0C8F1CC6}" xr6:coauthVersionLast="47" xr6:coauthVersionMax="47" xr10:uidLastSave="{00000000-0000-0000-0000-000000000000}"/>
  <bookViews>
    <workbookView xWindow="-19320" yWindow="-120" windowWidth="19440" windowHeight="15000" tabRatio="575" activeTab="1" xr2:uid="{F16C28BC-4A1C-4BA4-BDD8-BF2E16BB97FD}"/>
  </bookViews>
  <sheets>
    <sheet name="GeneratorForHeadings" sheetId="1" r:id="rId1"/>
    <sheet name="AnalysisGrid" sheetId="5" r:id="rId2"/>
    <sheet name="ModelComparison" sheetId="11" r:id="rId3"/>
    <sheet name="PipelinePlanning" sheetId="10" r:id="rId4"/>
    <sheet name="Sheet1" sheetId="8" r:id="rId5"/>
  </sheets>
  <definedNames>
    <definedName name="_xlnm._FilterDatabase" localSheetId="1" hidden="1">AnalysisGrid!$A$1:$AC$28</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J10" i="11" l="1"/>
  <c r="J9" i="11"/>
  <c r="J8" i="11"/>
  <c r="J7" i="11"/>
  <c r="J6" i="11"/>
  <c r="J5" i="11"/>
  <c r="J4" i="11"/>
  <c r="J3" i="11"/>
  <c r="J2" i="11"/>
  <c r="B34" i="10"/>
</calcChain>
</file>

<file path=xl/sharedStrings.xml><?xml version="1.0" encoding="utf-8"?>
<sst xmlns="http://schemas.openxmlformats.org/spreadsheetml/2006/main" count="365" uniqueCount="149">
  <si>
    <r>
      <t>&lt;</t>
    </r>
    <r>
      <rPr>
        <sz val="11"/>
        <color rgb="FF569CD6"/>
        <rFont val="Consolas"/>
        <family val="3"/>
      </rPr>
      <t>span</t>
    </r>
    <r>
      <rPr>
        <sz val="11"/>
        <color rgb="FFCCCCCC"/>
        <rFont val="Consolas"/>
        <family val="3"/>
      </rPr>
      <t xml:space="preserve"> </t>
    </r>
    <r>
      <rPr>
        <sz val="11"/>
        <color rgb="FF9CDCFE"/>
        <rFont val="Consolas"/>
        <family val="3"/>
      </rPr>
      <t>style</t>
    </r>
    <r>
      <rPr>
        <sz val="11"/>
        <color rgb="FFCCCCCC"/>
        <rFont val="Consolas"/>
        <family val="3"/>
      </rPr>
      <t>=</t>
    </r>
    <r>
      <rPr>
        <sz val="11"/>
        <color rgb="FFCE9178"/>
        <rFont val="Consolas"/>
        <family val="3"/>
      </rPr>
      <t>"font-size:30px; font-family:Arial;color:orange"</t>
    </r>
    <r>
      <rPr>
        <sz val="11"/>
        <color rgb="FF808080"/>
        <rFont val="Consolas"/>
        <family val="3"/>
      </rPr>
      <t>&gt;</t>
    </r>
    <r>
      <rPr>
        <sz val="11"/>
        <color rgb="FFCCCCCC"/>
        <rFont val="Consolas"/>
        <family val="3"/>
      </rPr>
      <t>Analysis of Product column</t>
    </r>
    <r>
      <rPr>
        <sz val="11"/>
        <color rgb="FF808080"/>
        <rFont val="Consolas"/>
        <family val="3"/>
      </rPr>
      <t>&lt;/</t>
    </r>
    <r>
      <rPr>
        <sz val="11"/>
        <color rgb="FF569CD6"/>
        <rFont val="Consolas"/>
        <family val="3"/>
      </rPr>
      <t>span</t>
    </r>
    <r>
      <rPr>
        <sz val="11"/>
        <color rgb="FF808080"/>
        <rFont val="Consolas"/>
        <family val="3"/>
      </rPr>
      <t>&gt;</t>
    </r>
  </si>
  <si>
    <t>&lt;span style="font-size:30px; font-family:Arial;color:orange"&gt;</t>
  </si>
  <si>
    <t>loan_amnt</t>
  </si>
  <si>
    <t>term</t>
  </si>
  <si>
    <t>int_rate</t>
  </si>
  <si>
    <t>installment</t>
  </si>
  <si>
    <t>grade</t>
  </si>
  <si>
    <t>sub_grade</t>
  </si>
  <si>
    <t>verification_status</t>
  </si>
  <si>
    <t>issue_d</t>
  </si>
  <si>
    <t>purpose</t>
  </si>
  <si>
    <t>title</t>
  </si>
  <si>
    <t>loan_status</t>
  </si>
  <si>
    <t>emp_title</t>
  </si>
  <si>
    <t>title_category</t>
  </si>
  <si>
    <t>emp_length</t>
  </si>
  <si>
    <t>home_ownership</t>
  </si>
  <si>
    <t>annual_inc</t>
  </si>
  <si>
    <t>dti</t>
  </si>
  <si>
    <t>age_group</t>
  </si>
  <si>
    <t>total_acc</t>
  </si>
  <si>
    <t>open_acc</t>
  </si>
  <si>
    <t>mort_acc</t>
  </si>
  <si>
    <t>revol_bal</t>
  </si>
  <si>
    <t>revol_util</t>
  </si>
  <si>
    <t>initial_list_status</t>
  </si>
  <si>
    <t>pub_rec</t>
  </si>
  <si>
    <t>pub_rec_bankruptcies</t>
  </si>
  <si>
    <t>state</t>
  </si>
  <si>
    <t>* Loan Amount is NOT normally distributed
* Mean value is 14113.888089286165 with 50% of data lying between 8000.0 and 20000.0
*There are 141 outliers,ALL except 1 are 40000, it seems this is some max limit that LoanTap uses</t>
  </si>
  <si>
    <t>76% of loans are having a term of 36 months</t>
  </si>
  <si>
    <t>* interest rate data is not normally distributed
* Mean value is 13.63 with 50% of data lying between 10.49 and 16.49
* Lowest interest is 5.32 and maximum is 30.99.  
* There are 3777 outliers, all on the higher side</t>
  </si>
  <si>
    <t>* Mean value is 431.85 with 50% of data lying between 250.33 and 567.3
* There are 11250 outliers. 0 outliers are on lower side and 11250 outliers are on upper side</t>
  </si>
  <si>
    <t>* 10% of loanees are manager
* Directors, analysts, specialists, engineer, supervisors, teachers, officers are each around 2%
* Other professions that are more than a percent are drivers, nurses, technicians, medical.
* Around 6% of data was missing for titles.
* Many ppl have given their company names instead of titles.  Like JP Morgan Chase, Department of Defense.  Its quite obvious that these institutuions will not come for loan to Loantap. Hence it can be concluded it is individuals who have given their title as their employer name.</t>
  </si>
  <si>
    <t>* 31.8% of people have 10+yrs of experience
* 24% have two yrs or less
* Breakup of categories - 11.0 (31.83%), 6.0 (9.88%), 2.0 (9.05%), 0.5 (8.01%), 3.0 (8.0%), 5.0 (6.69%), 1.0 (6.54%), 4.0 (6.05%), 7.0 (5.26%), 8.0 (4.84%), 9.0 (3.87%)</t>
  </si>
  <si>
    <t>1. Predominantly Renters &amp; Mortgage Holders
* Rent (40.35%) and Mortgage (50.11%) together account for over 90% of the dataset
*This suggests your population is primarily people with regular housing payment obligations
2. Very Few Outright Owners
* Only 9.53% own their homes without mortgages
* This could indicate a younger demographic or people earlier in their wealth accumulation journey
3. Data Quality
* Very small percentages in "NONE," "OTHER," and "ANY" (combined &lt;0.05%) suggest good data quality with minimal missing or undefined values</t>
  </si>
  <si>
    <t>* Mean value is 74203.18 with 50% of data lying between 45000.0 and 90000.0
* There are 16700 outliers. 0 outliers are on lower side and 16700 outliers are on upper side</t>
  </si>
  <si>
    <t>31% of records are not verified.</t>
  </si>
  <si>
    <t>* July and October months are the ones where maximum loans are sanctioned.
* Loantap may have started operations in 2007 and had phenomenol increase year on year in number of loans disbursed.
* After 2014, the number of loans disbursed as dropped.</t>
  </si>
  <si>
    <t>20% of loans disbursed by LoanTap were not repaid.  It is a very very high percentage of bad loans</t>
  </si>
  <si>
    <t>* Debt consolidation loans are marketed as loans to combine multiple debts (credit cards, personal loans, etc.) into one single payment, ideally at a lower interest rate.
* 59% of personal loans are for debt restructring and 20% are for credit card. These two purposes are similar.  So we can say that 80% of people are those who are struggling to manage their &lt;li&gt;debts and are taking personal loans.  These customers could be in a stretched situation 
* So overall we can say that typical loanee of Loantap may be struggling with existing debt.  This can be further investigated when we look at analysis of purpose and revol_bal, total_acc, open_acc and mort_acc fields.</t>
  </si>
  <si>
    <t>* We have 48817 different titles!!  Not really a useful way to analyse.  Some of the titles look similar.
* After consolidating titles we can infer that 73% of personal loans are for debt consolidation</t>
  </si>
  <si>
    <t>earliest_cr_line_data</t>
  </si>
  <si>
    <t>* Mean value of credit age in months is 189 with 50% of data lying between 131.0 and 232.0.  It means on a avg, the person taking loan from Loantap has a 189 month of credit history (around 15 yrs).
* Least value is 36, so it means Loantap does not give loans to people with less than 3 yrs of credit history.
* We can guess age of customer to certain extent- Approximately 97% of customers of Loantap are less than 50-60.  There is a assumption here that people have taken credit at 18yr of age.  (This is a assumption and hence we had 10yrs to 50 to guess the age limit as 50-60)</t>
  </si>
  <si>
    <t>* Mean value is 25.41 with 50% of data lying between 17.0 and 32.0
* There are 8499 outliers. 0 outliers are on lower side and 8499 outliers are on upper side
* Outliers are just 2.1% of total data
* We choose not to remove outliers as this study is basically about fraud Detection and credit assessment.: Outliers ARE what we may be looking for</t>
  </si>
  <si>
    <t>* Mean value of open accounts is 11.31 with 50% of data lying between 8.0 and 14.0
* Only 6 ppl had no open accounts, it means Loantap prefers that people have some open accounts as that will mean they have some verifiable history</t>
  </si>
  <si>
    <t>* 44% of loanee didnt have a mortgage loan. 
* On negative side, Mortgage loan is a long term loan and may indicate a mature responsible person. Also it indicates they have passed the test by the mortgage lender.  
* On positive side, it means these ppl may have less debt burden</t>
  </si>
  <si>
    <t>Mean value is 15844.54 with 50% of data lying between 6025.0 and 19620.0M</t>
  </si>
  <si>
    <t>Mean utlization of revolving credit is 54%, with 50% ppl utilizing between 36% and 73% of their available revolving balance</t>
  </si>
  <si>
    <t>85% of loanees dont have any public record</t>
  </si>
  <si>
    <t>* 88.6% of loanees dont have any public record of bankruptcies
*11% of loanees have ONE public record of bankruptcies</t>
  </si>
  <si>
    <t>application_type</t>
  </si>
  <si>
    <t>99.8% of loanees are individuals</t>
  </si>
  <si>
    <t>* Three codes make up more than 10% of total loanees - Armed Forces Pacific (3.61%), Armed Forces Europe (3.57%), Armed Forces Americas (3.51%)
* Rest all states are having a share of 1.73% to 1.79%</t>
  </si>
  <si>
    <t>DEPENDENT(p:0.00), however association is Weak(CramersV=0.17)</t>
  </si>
  <si>
    <t>loan_status and state are independent.(p:0.65)</t>
  </si>
  <si>
    <t>loan_status and application_type are DEPENDENT(p:0.00), however association is Weak(CramersV=0.17)</t>
  </si>
  <si>
    <t>loan_status and title_category are DEPENDENT(p:0.00), however association is Weak(CramersV=0.17)</t>
  </si>
  <si>
    <t>* Grades A, B, C, D, E, F, G represent increasing risk.  Grade A is lowest risk customers, and hence their interest rates are lowest.  
A-median= 7.62,range-5%-10%
B-median=11.14,range-7.5% to 14%
C-median=14.31,range-10% to 17.5%
D-median=17.57,range-12.5%- 20%
E-median=20.30,range-12.5%-26%
F-median=23.83,range-15%-32%
G-median=25.83,range-17.5%-32%</t>
  </si>
  <si>
    <t>Loan amounts are similar across all grades, which means LoanTap is taking higher risks in lower grades. Lower grades have higher incidence of defaults, as seen from loan_status, still the loan amount is not lesser for lower grades.</t>
  </si>
  <si>
    <t>Grade A has 98% of loans of 36 months and 2% loans of 60 months.
Grade B has 90% of loans of 36 months and 10% loans of 60 months.
Grade C has 75% of loans of 36 months and 25% loans of 60 months.
Grade D has 65% of loans of 36 months and 35% loans of 60 months.
Grade E has 37% of loans of 36 months and 63% loans of 60 months.
Grade F has 21% of loans of 36 months and 79% loans of 60 months.
Grade G has 12% of loans of 36 months and 88% loans of 60 months.</t>
  </si>
  <si>
    <t>73% of personal loans are for debt consolidation</t>
  </si>
  <si>
    <t>Grade A has 71% of loans related to consolidation
Grade B has 74% of loans related to consolidation
Grade C has 75% of loans related to consolidation
Grade D has 71% of loans related to consolidation
Grade E has 71% of loans related to consolidation
Grade F has 67% of loans related to consolidation
Grade G has 62% of loans related to consolidation</t>
  </si>
  <si>
    <t>profit</t>
  </si>
  <si>
    <t xml:space="preserve">
* When we do bivariate analysis, it would be very interesting to explore this grade and subgrade with apprvoed loan amounts, and loan_status</t>
  </si>
  <si>
    <t>* Breakup of grades- B (29.3%), C (26.76%), A (16.21%), D (16.04%), E (7.95%), F (2.97%), G (0.77%)
* subgrade is direct child of grade, so if grade A has 16% of data, sum of A1,A2,A3,A4,A5 comes to same total.</t>
  </si>
  <si>
    <t xml:space="preserve">* Grade A,B,C are safest, with only few loanees defaulting
* Grade D,E,F,G have profit values from high negative to high positive.
* Grade B,C have earned Loantap maximum profit
* Grade G, after all its risks, is still overall profitable in last 10 yrs for LoanTap. </t>
  </si>
  <si>
    <t>Grade is not related to employment length, we have all employment lengths across all grades</t>
  </si>
  <si>
    <t>In Grade A, 59% ppl have a mortgage, 9% have own house, while 31% are on rent
In Grade G, 46% ppl have a mortgage, 11% have own house, and 41% are on rent</t>
  </si>
  <si>
    <t>earliest_cr_line</t>
  </si>
  <si>
    <t>grade and total_acc are DEPENDENT.Medians of groups of total_acc based on grade are different' is True, p-value:0.00. Yet effect negligible (η²=0.00).</t>
  </si>
  <si>
    <t>Not much difference in revolving balance of Grade A and Grade G loanees, which is quite strange.</t>
  </si>
  <si>
    <t>* Interestingly, there is not much difference in average credit age between the groups.(176 months for Grade G and 205monts for Grade A) (effect size is 0.01).
* There is not much difference in average age of customers between the groups (effect size is 0.01).</t>
  </si>
  <si>
    <t>The results are on expected lines.  Grade D,E,F,G loanees have exhausted far more revolving balance(60%+) than Grade A(38%)</t>
  </si>
  <si>
    <t>Grade C,D,E,F and G loanees have three times more average public records (which is a negative) than Grade A loanees</t>
  </si>
  <si>
    <t>Grade A loanees have 3 times less public bankrupties reported than all other grades,  however the effect size is negligible (0.01)</t>
  </si>
  <si>
    <t>Mean loan amount taken by people below the age of 30 is 12198 while that of people above 30yrs of age is 15201 and it increases even for loanees above 50</t>
  </si>
  <si>
    <t xml:space="preserve">Avg loan for 36 months is 12277 while that for 60 months is 20013.  </t>
  </si>
  <si>
    <t>address</t>
  </si>
  <si>
    <t>cust_age_guess</t>
  </si>
  <si>
    <t>ordinal encoding</t>
  </si>
  <si>
    <t>target encoding</t>
  </si>
  <si>
    <t>IGNORE as 99.8% values are same</t>
  </si>
  <si>
    <t>CATEGORICAL COLUMNS</t>
  </si>
  <si>
    <t>NUMERICAL COLUMN ANALYSIS</t>
  </si>
  <si>
    <t>Total rows</t>
  </si>
  <si>
    <t>we should not remove outliers</t>
  </si>
  <si>
    <t>85% have 0 pub_rec, we can convert into binary encoded column</t>
  </si>
  <si>
    <t>88% have 0 pub_rec_bankrupties, we can convert into binary encoded column</t>
  </si>
  <si>
    <t>ignore this column</t>
  </si>
  <si>
    <t>custom encoding required</t>
  </si>
  <si>
    <t>we create age_group column based on this.</t>
  </si>
  <si>
    <t>Details/Remarks</t>
  </si>
  <si>
    <t>IGNORE, title covers similar info.</t>
  </si>
  <si>
    <t>outlier removal, scaling</t>
  </si>
  <si>
    <t>scaling</t>
  </si>
  <si>
    <t>Outlier %</t>
  </si>
  <si>
    <t>Outlier Count</t>
  </si>
  <si>
    <t>What is required in pipeline of this column</t>
  </si>
  <si>
    <t>based on earliest_cr_line</t>
  </si>
  <si>
    <t>outlier removal will remove nothing, so its safe</t>
  </si>
  <si>
    <t>extract state from address, then target encode</t>
  </si>
  <si>
    <t>feature engg, outlier removal, scaling</t>
  </si>
  <si>
    <t>feature engg, scaling</t>
  </si>
  <si>
    <t>ordinal encoding to verification_status</t>
  </si>
  <si>
    <t>ordinal encoding to loan_status</t>
  </si>
  <si>
    <t>impute missing, group, target encode</t>
  </si>
  <si>
    <t>outlier</t>
  </si>
  <si>
    <t>imputer</t>
  </si>
  <si>
    <t>encoding</t>
  </si>
  <si>
    <t>ordinal</t>
  </si>
  <si>
    <t>target</t>
  </si>
  <si>
    <t>feature engg, encode</t>
  </si>
  <si>
    <t>Default</t>
  </si>
  <si>
    <t>Precision</t>
  </si>
  <si>
    <t>Recall</t>
  </si>
  <si>
    <t>F1-score</t>
  </si>
  <si>
    <t>Accuracy</t>
  </si>
  <si>
    <t>L1 Penalty, Liblinear, C-5</t>
  </si>
  <si>
    <t>SMOTE</t>
  </si>
  <si>
    <t>ClassWeight=balanced</t>
  </si>
  <si>
    <t>ADASYN</t>
  </si>
  <si>
    <t>Threshold=0.8</t>
  </si>
  <si>
    <t>SMOTE + Threshold=0.8</t>
  </si>
  <si>
    <t>Worse than default</t>
  </si>
  <si>
    <t>Worse than even default + Threshold=0.8</t>
  </si>
  <si>
    <t>C= 1/200</t>
  </si>
  <si>
    <t>Low F1 score</t>
  </si>
  <si>
    <t>SMOTE + L1 Penalty, Liblinear, C-5</t>
  </si>
  <si>
    <t xml:space="preserve">better </t>
  </si>
  <si>
    <t>default</t>
  </si>
  <si>
    <t>* Average loan amount to users who didnt ultimately pay is USD 15126 , while those that Fully Paid is USD 13866.  One may be tempted to deduce that "good payers need less money." This is a fascinating and somewhat counterintuitive finding—people who fully paid their loans actually borrowed less on average than those who were charged off.  This relationship might indicate that LoanTap's lending approval process or risk modeling isn't perfectly calibrated. If charged-off borrowers are getting approved for larger loans despite higher risk profiles, that's worth investigating. Conversely, it could mean that default risk isn't primarily driven by loan amount, but by other factors (job stability, credit history, external shocks) that you should focus on instead.
* DEPENDENT.(p:0.00), yet effect negligible (η²=0.00).</t>
  </si>
  <si>
    <t>* DEPENDENT.(p:0.00), yet effect small (η²=0.06).
* Average interest rate given to people who paid fully is 13.1% while those who defaulted later is 15.9%.  It confirms that LoanTap was correct in its asseement of risk with these accounts and hence higher interest was charged</t>
  </si>
  <si>
    <t>* 25% of loanees who are in top DTI tertile of 20.76% to 41% are unable to pay their loans back, while only 14% of those in lowest DTI tertile of 0 to 13% dont pay the loan back.  Hence we can say that there is 78% increase in loan default when we move from lower DTI to higher DTI
* Worst group:	(High DTI, Low Credit Age) with ~27.6% defaults → likely the riskiest borrower segment.
* Best group:	(Low DTI, High Credit Age) with only ~12.9% defaults → most reliable.</t>
  </si>
  <si>
    <t>* The number of open accounts is similar for both groups  (Charged Off  11.602513,  Fully Paid  11.240067)
* DEPENDENT.(p:0.00), yet effect negligible (η²=0.00).</t>
  </si>
  <si>
    <r>
      <t xml:space="preserve">* As expected, the people who paid fully have 12% more annual income on an average, compared to those that didnt pay the loan back
* DEPENDENT.(p:0.00), yet effect negligible (η²=0.01).
</t>
    </r>
    <r>
      <rPr>
        <b/>
        <sz val="11"/>
        <color rgb="FFFF0000"/>
        <rFont val="Aptos"/>
        <family val="2"/>
      </rPr>
      <t>* Counterintuitively though, In our ML model, this factor has been identified to increase chance of default</t>
    </r>
  </si>
  <si>
    <r>
      <t xml:space="preserve">revol_bal and loan status are independent.(p:0.56)
</t>
    </r>
    <r>
      <rPr>
        <b/>
        <sz val="11"/>
        <color rgb="FFFF0000"/>
        <rFont val="Aptos"/>
        <family val="2"/>
      </rPr>
      <t>* In our ML model, this factor has been identified to increase chance of default</t>
    </r>
  </si>
  <si>
    <r>
      <t xml:space="preserve">Median and mean total_acc are almost the same across groups- Suggests total number of accounts alone is not a major driver of default.
DEPENDENT.(p:0.00), yet effect negligible (η²=0.00).
</t>
    </r>
    <r>
      <rPr>
        <b/>
        <sz val="11"/>
        <color rgb="FFFF0000"/>
        <rFont val="Aptos"/>
        <family val="2"/>
      </rPr>
      <t>* In our ML model, this factor has been identified to increase chance of default</t>
    </r>
  </si>
  <si>
    <r>
      <t xml:space="preserve">* Average for Fully Paid ≈ 1.7, Average for Charged Off ≈ 1.4 The difference is small but consistent — Fully Paid borrowers have on average slightly more mortgage accounts.  </t>
    </r>
    <r>
      <rPr>
        <b/>
        <sz val="11"/>
        <color theme="1"/>
        <rFont val="Aptos"/>
        <family val="2"/>
      </rPr>
      <t>Having more mortgage accounts may indicate better creditworthiness or financial stability — likely homeowners with assets and longer credit history</t>
    </r>
    <r>
      <rPr>
        <sz val="11"/>
        <color theme="1"/>
        <rFont val="Aptos"/>
        <family val="2"/>
      </rPr>
      <t xml:space="preserve">.
* DEPENDENT.(p:0.00), yet effect negligible (η²=0.00).
</t>
    </r>
    <r>
      <rPr>
        <b/>
        <sz val="11"/>
        <color rgb="FFFF0000"/>
        <rFont val="Aptos"/>
        <family val="2"/>
      </rPr>
      <t>* In our ML model, this factor has been identified to increase chance of default</t>
    </r>
  </si>
  <si>
    <r>
      <t xml:space="preserve">* Fully Paid borrowers have less reported public bankruptcies data
* Statistically though they are independent.(p:0.96)
</t>
    </r>
    <r>
      <rPr>
        <sz val="11"/>
        <color rgb="FFFF0000"/>
        <rFont val="Aptos"/>
        <family val="2"/>
      </rPr>
      <t xml:space="preserve">* </t>
    </r>
    <r>
      <rPr>
        <b/>
        <sz val="11"/>
        <color rgb="FFFF0000"/>
        <rFont val="Aptos"/>
        <family val="2"/>
      </rPr>
      <t>In our ML model, this factor has been identified to increase chance of default</t>
    </r>
  </si>
  <si>
    <r>
      <t xml:space="preserve">* The data shows a clear pattern: people who defaulted have an average credit age of ~184 months (~15.3 years), while fully paid borrowers average ~190 months (~15.8 years). While the difference is modest in absolute terms, it's directionally consistent and meaningful.
* DEPENDENT.(p:0.00), yet effect negligible (η²=0.00).
* loan_status and age_group are DEPENDENT(p:0.00), however association is Weak(CramersV=0.17)
</t>
    </r>
    <r>
      <rPr>
        <b/>
        <sz val="11"/>
        <color rgb="FF00B050"/>
        <rFont val="Aptos"/>
        <family val="2"/>
      </rPr>
      <t xml:space="preserve">* In our ML model, longer credit history has been identified to decrease chance of default. </t>
    </r>
  </si>
  <si>
    <r>
      <t xml:space="preserve">oan outcomes:
* The 10+ Years Experience Sweet Spot = The massive spike in the "Fully Paid" (orange) line at 10+ years is striking. This suggests that borrowers with 10 or more years of employment experience have dramatically better repayment outcomes. The lender likely views this as a strong stability indicator, and it appears to be validated by the data—these experienced workers reliably repay their loans.
* Charged-Off Borrowers Are Spread Across Tenure = The "Charged Off" (blue) line stays relatively flat and low across most of the distribution. Notably, it doesn't spike at the 10+ year mark like the fully paid group does. This indicates that employment length alone doesn't protect against default—some experienced workers still default, and the relationship isn't as strong as you might expect.
* Early Career Risk But Not Eliminated = 
The early years (0-3 years) show elevated density for fully paid loans but lower for charged-offs. This is interesting—people very early in their careers still get approved and many successfully repay. It's not an automatic default zone.  
</t>
    </r>
    <r>
      <rPr>
        <b/>
        <sz val="11"/>
        <color theme="1"/>
        <rFont val="Aptos"/>
        <family val="2"/>
      </rPr>
      <t>* LoanTap should continue to be NOT AVERSE in giving loans to users with less experience</t>
    </r>
    <r>
      <rPr>
        <sz val="11"/>
        <color theme="1"/>
        <rFont val="Aptos"/>
        <family val="2"/>
      </rPr>
      <t xml:space="preserve">
* DEPENDENT.(p:0.00), yet effect negligible (η²=0.00)
</t>
    </r>
    <r>
      <rPr>
        <b/>
        <sz val="11"/>
        <color rgb="FFFF0000"/>
        <rFont val="Aptos"/>
        <family val="2"/>
      </rPr>
      <t>* In our ML model, higher emp_length has been identified to increase chance of default, although effect is less.  It may be explainable by considering that people with higher experience are having many commitments in life and thus may default</t>
    </r>
  </si>
  <si>
    <r>
      <t xml:space="preserve">DEPENDENT.(p:0.00), yet effect negligible (η²=0.00).
</t>
    </r>
    <r>
      <rPr>
        <b/>
        <sz val="11"/>
        <color rgb="FF00B050"/>
        <rFont val="Aptos"/>
        <family val="2"/>
      </rPr>
      <t>* In our ML model, this factor has been identified to decrease chance of default. Higher installment means person was identified as less risky</t>
    </r>
  </si>
  <si>
    <r>
      <t xml:space="preserve">* The DTI metric reveals fundamental differences in financial health between defaulters and successful borrowers.
* Charged-Off Borrowers Have Higher Debt Burden - 19.3 versus ~16.8. This ~2.5 point difference represents roughly 15% higher debt relative to income for defaulters
* The KDE plot shows the "Fully Paid" distribution (orange) is tightly clustered and peaks around 10-15 DTI, suggesting most successful borrowers maintain relatively conservative debt levels. 
* In contrast, the "Charged Off" distribution (blue) is flatter, wider, and spreads further to the right, with a notable tail extending into the 30-40+ range. This means charged-off borrowers don't just have slightly higher DTI on average—they have much more variable and often dangerously high debt levels. Some of them were carrying 30, 40, or even higher DTI ratios when they defaulted.
* DEPENDENT.(p:0.00), yet effect small (η²=0.02).
</t>
    </r>
    <r>
      <rPr>
        <b/>
        <sz val="11"/>
        <color rgb="FF00B050"/>
        <rFont val="Aptos"/>
        <family val="2"/>
      </rPr>
      <t xml:space="preserve">* In our ML model, lower DTI has been identified to decrease chance of default </t>
    </r>
  </si>
  <si>
    <r>
      <t xml:space="preserve">* Default (Charged Off) borrowers tend to have slightly higher and wider distributions of revolving utilization — consistent with riskier financial behavior.
* The interquartile range (spread) overlaps meaning revol_util alone does not fully separate groups 
* On average, defaulting borrowers maintain slightly higher revolving credit usage than those who fully repay their loans
* Distribution shape	Indicates early warning zone may begin beyond 60–70% utilization.
* </t>
    </r>
    <r>
      <rPr>
        <b/>
        <sz val="11"/>
        <color theme="1"/>
        <rFont val="Aptos"/>
        <family val="2"/>
      </rPr>
      <t>Borrowers with higher revolving utilization ratios are more prone to loan default.</t>
    </r>
    <r>
      <rPr>
        <sz val="11"/>
        <color theme="1"/>
        <rFont val="Aptos"/>
        <family val="2"/>
      </rPr>
      <t xml:space="preserve">
* DEPENDENT.(p:0.00), yet effect negligible (η²=0.01).
</t>
    </r>
    <r>
      <rPr>
        <b/>
        <sz val="11"/>
        <color rgb="FF00B050"/>
        <rFont val="Aptos"/>
        <family val="2"/>
      </rPr>
      <t xml:space="preserve">* In our ML model, lower revol_util has been identified to decrease chance of default </t>
    </r>
  </si>
  <si>
    <r>
      <t xml:space="preserve">* People who paid the loans back have lesser number of public records
* Statistically though, these features appear independent.(p:0.16)
</t>
    </r>
    <r>
      <rPr>
        <b/>
        <sz val="11"/>
        <color rgb="FF00B050"/>
        <rFont val="Aptos"/>
        <family val="2"/>
      </rPr>
      <t>* In our ML model, having a higher pub_rec has been identified to decrease chance of default . This is counterintuitive and needs some investigation</t>
    </r>
  </si>
  <si>
    <r>
      <rPr>
        <b/>
        <sz val="11"/>
        <rFont val="Aptos"/>
        <family val="2"/>
      </rPr>
      <t xml:space="preserve">* Shorter‑term loans show higher repayment success (Fully Paid).
* 60‑month loans have more defaults proportionally.
</t>
    </r>
    <r>
      <rPr>
        <b/>
        <sz val="11"/>
        <color rgb="FF00B050"/>
        <rFont val="Aptos"/>
        <family val="2"/>
      </rPr>
      <t xml:space="preserve">* In our ML model, this factor has been identified to decrease chance of default </t>
    </r>
    <r>
      <rPr>
        <sz val="11"/>
        <rFont val="Aptos"/>
        <family val="2"/>
      </rPr>
      <t xml:space="preserve">
* DEPENDENT(p:0.00), however association is Weak(CramersV=0.17)</t>
    </r>
  </si>
  <si>
    <r>
      <t xml:space="preserve">* Graph clearly shows charged off rate increases linearly as Grade goes from A to G.
* DEPENDENT(p:0.00), however association is Weak(CramersV=0.17)
* We can observe visually there are more defaults in lower grades (E,F,G)
* 48% of grade G loans go bad
* 43% of grade F loans go bad
* 37% of grade E loans go bad
* 29% of grade D loans go bad
</t>
    </r>
    <r>
      <rPr>
        <b/>
        <sz val="11"/>
        <color rgb="FF00B050"/>
        <rFont val="Aptos"/>
        <family val="2"/>
      </rPr>
      <t>* In our ML model, this factor has been identified to decrease chance of default (better grade, lower chance of default)</t>
    </r>
  </si>
  <si>
    <t>* Loan amount and installment are highly correlated
* Loantap is profitable, and not lost money. It has earned USD 607 million in interest income over around 10 yrs.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</si>
</sst>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7" x14ac:knownFonts="1">
    <font>
      <sz val="11"/>
      <color theme="1"/>
      <name val="Aptos Narrow"/>
      <family val="2"/>
      <scheme val="minor"/>
    </font>
    <font>
      <sz val="11"/>
      <color theme="1"/>
      <name val="Consolas"/>
      <family val="3"/>
    </font>
    <font>
      <sz val="18"/>
      <color theme="1"/>
      <name val="Consolas"/>
      <family val="3"/>
    </font>
    <font>
      <sz val="11"/>
      <color rgb="FFCCCCCC"/>
      <name val="Consolas"/>
      <family val="3"/>
    </font>
    <font>
      <sz val="11"/>
      <color rgb="FF808080"/>
      <name val="Consolas"/>
      <family val="3"/>
    </font>
    <font>
      <sz val="11"/>
      <color rgb="FF569CD6"/>
      <name val="Consolas"/>
      <family val="3"/>
    </font>
    <font>
      <sz val="11"/>
      <color rgb="FF9CDCFE"/>
      <name val="Consolas"/>
      <family val="3"/>
    </font>
    <font>
      <sz val="11"/>
      <color rgb="FFCE9178"/>
      <name val="Consolas"/>
      <family val="3"/>
    </font>
    <font>
      <b/>
      <sz val="11"/>
      <color theme="1"/>
      <name val="Aptos Narrow"/>
      <family val="2"/>
      <scheme val="minor"/>
    </font>
    <font>
      <sz val="11"/>
      <color theme="1"/>
      <name val="Aptos"/>
      <family val="2"/>
    </font>
    <font>
      <sz val="18"/>
      <color theme="1"/>
      <name val="Aptos"/>
      <family val="2"/>
    </font>
    <font>
      <sz val="11"/>
      <name val="Aptos"/>
      <family val="2"/>
    </font>
    <font>
      <b/>
      <sz val="11"/>
      <color theme="1"/>
      <name val="Aptos"/>
      <family val="2"/>
    </font>
    <font>
      <b/>
      <sz val="11"/>
      <color rgb="FFFF0000"/>
      <name val="Aptos"/>
      <family val="2"/>
    </font>
    <font>
      <sz val="11"/>
      <color rgb="FFFF0000"/>
      <name val="Aptos"/>
      <family val="2"/>
    </font>
    <font>
      <b/>
      <sz val="11"/>
      <color rgb="FF00B050"/>
      <name val="Aptos"/>
      <family val="2"/>
    </font>
    <font>
      <b/>
      <sz val="11"/>
      <name val="Aptos"/>
      <family val="2"/>
    </font>
  </fonts>
  <fills count="8">
    <fill>
      <patternFill patternType="none"/>
    </fill>
    <fill>
      <patternFill patternType="gray125"/>
    </fill>
    <fill>
      <patternFill patternType="solid">
        <fgColor rgb="FFFFFF00"/>
        <bgColor indexed="64"/>
      </patternFill>
    </fill>
    <fill>
      <patternFill patternType="solid">
        <fgColor rgb="FF61CBF3"/>
        <bgColor indexed="64"/>
      </patternFill>
    </fill>
    <fill>
      <patternFill patternType="solid">
        <fgColor rgb="FF0A2060"/>
        <bgColor indexed="64"/>
      </patternFill>
    </fill>
    <fill>
      <patternFill patternType="solid">
        <fgColor theme="7" tint="0.39997558519241921"/>
        <bgColor indexed="64"/>
      </patternFill>
    </fill>
    <fill>
      <patternFill patternType="solid">
        <fgColor rgb="FF00B050"/>
        <bgColor indexed="64"/>
      </patternFill>
    </fill>
    <fill>
      <patternFill patternType="solid">
        <fgColor rgb="FFFFC000"/>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s>
  <cellStyleXfs count="1">
    <xf numFmtId="0" fontId="0" fillId="0" borderId="0"/>
  </cellStyleXfs>
  <cellXfs count="33">
    <xf numFmtId="0" fontId="0" fillId="0" borderId="0" xfId="0"/>
    <xf numFmtId="0" fontId="1" fillId="0" borderId="0" xfId="0" applyFont="1" applyAlignment="1">
      <alignment vertical="center"/>
    </xf>
    <xf numFmtId="0" fontId="0" fillId="0" borderId="0" xfId="0" applyFont="1"/>
    <xf numFmtId="0" fontId="1" fillId="2" borderId="0" xfId="0" applyFont="1" applyFill="1" applyAlignment="1">
      <alignment vertical="center"/>
    </xf>
    <xf numFmtId="0" fontId="4" fillId="0" borderId="0" xfId="0" applyFont="1" applyAlignment="1">
      <alignment vertical="center"/>
    </xf>
    <xf numFmtId="0" fontId="0" fillId="0" borderId="1" xfId="0" applyBorder="1"/>
    <xf numFmtId="0" fontId="0" fillId="4" borderId="0" xfId="0" applyFill="1"/>
    <xf numFmtId="0" fontId="2" fillId="3" borderId="0" xfId="0" applyFont="1" applyFill="1"/>
    <xf numFmtId="0" fontId="0" fillId="4" borderId="1" xfId="0" applyFill="1" applyBorder="1"/>
    <xf numFmtId="0" fontId="2" fillId="5" borderId="0" xfId="0" applyFont="1" applyFill="1"/>
    <xf numFmtId="0" fontId="8" fillId="0" borderId="1" xfId="0" applyFont="1" applyBorder="1"/>
    <xf numFmtId="0" fontId="0" fillId="6" borderId="1" xfId="0" applyFill="1" applyBorder="1"/>
    <xf numFmtId="3" fontId="1" fillId="0" borderId="0" xfId="0" applyNumberFormat="1" applyFont="1"/>
    <xf numFmtId="0" fontId="0" fillId="0" borderId="0" xfId="0" applyBorder="1"/>
    <xf numFmtId="0" fontId="0" fillId="0" borderId="1" xfId="0" applyFont="1" applyBorder="1"/>
    <xf numFmtId="0" fontId="8" fillId="0" borderId="2" xfId="0" applyFont="1" applyBorder="1"/>
    <xf numFmtId="0" fontId="0" fillId="7" borderId="1" xfId="0" applyFill="1" applyBorder="1"/>
    <xf numFmtId="0" fontId="0" fillId="5" borderId="1" xfId="0" applyFill="1" applyBorder="1"/>
    <xf numFmtId="0" fontId="8" fillId="0" borderId="0" xfId="0" applyFont="1" applyBorder="1"/>
    <xf numFmtId="0" fontId="8" fillId="0" borderId="4" xfId="0" applyFont="1" applyBorder="1"/>
    <xf numFmtId="0" fontId="8" fillId="0" borderId="3" xfId="0" applyFont="1" applyBorder="1"/>
    <xf numFmtId="0" fontId="0" fillId="2" borderId="1" xfId="0" applyFill="1" applyBorder="1"/>
    <xf numFmtId="0" fontId="8" fillId="0" borderId="1" xfId="0" applyFont="1" applyBorder="1" applyAlignment="1">
      <alignment horizontal="right"/>
    </xf>
    <xf numFmtId="0" fontId="9" fillId="0" borderId="0" xfId="0" applyFont="1"/>
    <xf numFmtId="0" fontId="10" fillId="3" borderId="0" xfId="0" applyFont="1" applyFill="1"/>
    <xf numFmtId="0" fontId="10" fillId="5" borderId="0" xfId="0" applyFont="1" applyFill="1"/>
    <xf numFmtId="0" fontId="10" fillId="3" borderId="1" xfId="0" applyFont="1" applyFill="1" applyBorder="1"/>
    <xf numFmtId="0" fontId="9" fillId="0" borderId="1" xfId="0" applyFont="1" applyBorder="1" applyAlignment="1">
      <alignment wrapText="1"/>
    </xf>
    <xf numFmtId="0" fontId="10" fillId="2" borderId="1" xfId="0" applyFont="1" applyFill="1" applyBorder="1"/>
    <xf numFmtId="0" fontId="9" fillId="4" borderId="1" xfId="0" applyFont="1" applyFill="1" applyBorder="1"/>
    <xf numFmtId="0" fontId="9" fillId="0" borderId="1" xfId="0" applyFont="1" applyBorder="1"/>
    <xf numFmtId="0" fontId="11" fillId="0" borderId="0" xfId="0" applyFont="1" applyAlignment="1">
      <alignment wrapText="1"/>
    </xf>
    <xf numFmtId="0" fontId="11" fillId="0" borderId="1" xfId="0" applyFont="1" applyBorder="1" applyAlignment="1">
      <alignment wrapText="1"/>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512587-6A5C-443A-B558-89F9360FC1B0}">
  <sheetPr codeName="Sheet1"/>
  <dimension ref="A1:A30"/>
  <sheetViews>
    <sheetView topLeftCell="A7" workbookViewId="0">
      <selection activeCell="I9" sqref="I9"/>
    </sheetView>
  </sheetViews>
  <sheetFormatPr defaultRowHeight="15" x14ac:dyDescent="0.25"/>
  <cols>
    <col min="1" max="1" width="33.7109375" style="2" customWidth="1"/>
    <col min="2" max="16384" width="9.140625" style="2"/>
  </cols>
  <sheetData>
    <row r="1" spans="1:1" x14ac:dyDescent="0.25">
      <c r="A1" s="1" t="s">
        <v>1</v>
      </c>
    </row>
    <row r="2" spans="1:1" x14ac:dyDescent="0.25">
      <c r="A2" s="4" t="s">
        <v>0</v>
      </c>
    </row>
    <row r="3" spans="1:1" x14ac:dyDescent="0.25">
      <c r="A3" s="3"/>
    </row>
    <row r="4" spans="1:1" x14ac:dyDescent="0.25">
      <c r="A4" s="3" t="s">
        <v>2</v>
      </c>
    </row>
    <row r="5" spans="1:1" x14ac:dyDescent="0.25">
      <c r="A5" s="3" t="s">
        <v>3</v>
      </c>
    </row>
    <row r="6" spans="1:1" x14ac:dyDescent="0.25">
      <c r="A6" s="3" t="s">
        <v>4</v>
      </c>
    </row>
    <row r="7" spans="1:1" x14ac:dyDescent="0.25">
      <c r="A7" s="3" t="s">
        <v>5</v>
      </c>
    </row>
    <row r="8" spans="1:1" x14ac:dyDescent="0.25">
      <c r="A8" s="3" t="s">
        <v>6</v>
      </c>
    </row>
    <row r="9" spans="1:1" x14ac:dyDescent="0.25">
      <c r="A9" s="3" t="s">
        <v>7</v>
      </c>
    </row>
    <row r="10" spans="1:1" x14ac:dyDescent="0.25">
      <c r="A10" s="3" t="s">
        <v>8</v>
      </c>
    </row>
    <row r="11" spans="1:1" x14ac:dyDescent="0.25">
      <c r="A11" s="3" t="s">
        <v>9</v>
      </c>
    </row>
    <row r="12" spans="1:1" x14ac:dyDescent="0.25">
      <c r="A12" s="3" t="s">
        <v>10</v>
      </c>
    </row>
    <row r="13" spans="1:1" x14ac:dyDescent="0.25">
      <c r="A13" s="3" t="s">
        <v>11</v>
      </c>
    </row>
    <row r="14" spans="1:1" x14ac:dyDescent="0.25">
      <c r="A14" s="3" t="s">
        <v>12</v>
      </c>
    </row>
    <row r="15" spans="1:1" x14ac:dyDescent="0.25">
      <c r="A15" s="3" t="s">
        <v>13</v>
      </c>
    </row>
    <row r="16" spans="1:1" x14ac:dyDescent="0.25">
      <c r="A16" s="3" t="s">
        <v>14</v>
      </c>
    </row>
    <row r="17" spans="1:1" x14ac:dyDescent="0.25">
      <c r="A17" s="3" t="s">
        <v>15</v>
      </c>
    </row>
    <row r="18" spans="1:1" x14ac:dyDescent="0.25">
      <c r="A18" s="3" t="s">
        <v>16</v>
      </c>
    </row>
    <row r="19" spans="1:1" x14ac:dyDescent="0.25">
      <c r="A19" s="2" t="s">
        <v>17</v>
      </c>
    </row>
    <row r="20" spans="1:1" x14ac:dyDescent="0.25">
      <c r="A20" s="2" t="s">
        <v>18</v>
      </c>
    </row>
    <row r="21" spans="1:1" x14ac:dyDescent="0.25">
      <c r="A21" s="2" t="s">
        <v>19</v>
      </c>
    </row>
    <row r="22" spans="1:1" x14ac:dyDescent="0.25">
      <c r="A22" s="2" t="s">
        <v>20</v>
      </c>
    </row>
    <row r="23" spans="1:1" x14ac:dyDescent="0.25">
      <c r="A23" s="2" t="s">
        <v>21</v>
      </c>
    </row>
    <row r="24" spans="1:1" x14ac:dyDescent="0.25">
      <c r="A24" s="2" t="s">
        <v>22</v>
      </c>
    </row>
    <row r="25" spans="1:1" x14ac:dyDescent="0.25">
      <c r="A25" s="2" t="s">
        <v>23</v>
      </c>
    </row>
    <row r="26" spans="1:1" x14ac:dyDescent="0.25">
      <c r="A26" s="2" t="s">
        <v>24</v>
      </c>
    </row>
    <row r="27" spans="1:1" x14ac:dyDescent="0.25">
      <c r="A27" s="2" t="s">
        <v>25</v>
      </c>
    </row>
    <row r="28" spans="1:1" x14ac:dyDescent="0.25">
      <c r="A28" s="2" t="s">
        <v>26</v>
      </c>
    </row>
    <row r="29" spans="1:1" x14ac:dyDescent="0.25">
      <c r="A29" s="2" t="s">
        <v>27</v>
      </c>
    </row>
    <row r="30" spans="1:1" x14ac:dyDescent="0.25">
      <c r="A30" s="2" t="s">
        <v>28</v>
      </c>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8089EC-0BED-4D5E-A539-40033E2CF2A6}">
  <sheetPr codeName="Sheet5"/>
  <dimension ref="A1:AC28"/>
  <sheetViews>
    <sheetView tabSelected="1" zoomScale="70" zoomScaleNormal="70" workbookViewId="0">
      <pane xSplit="1" ySplit="1" topLeftCell="B2" activePane="bottomRight" state="frozen"/>
      <selection pane="topRight" activeCell="B1" sqref="B1"/>
      <selection pane="bottomLeft" activeCell="A2" sqref="A2"/>
      <selection pane="bottomRight" activeCell="C2" sqref="C2"/>
    </sheetView>
  </sheetViews>
  <sheetFormatPr defaultRowHeight="15" x14ac:dyDescent="0.25"/>
  <cols>
    <col min="1" max="1" width="39.7109375" style="5" bestFit="1" customWidth="1"/>
    <col min="2" max="2" width="39.7109375" style="5" customWidth="1"/>
    <col min="3" max="3" width="28.85546875" style="5" customWidth="1"/>
    <col min="4" max="4" width="34.42578125" style="5" customWidth="1"/>
    <col min="5" max="5" width="22.42578125" style="5" bestFit="1" customWidth="1"/>
    <col min="6" max="6" width="28" style="5" customWidth="1"/>
    <col min="7" max="7" width="28.28515625" style="5" customWidth="1"/>
    <col min="8" max="8" width="37.7109375" style="5" bestFit="1" customWidth="1"/>
    <col min="9" max="9" width="24.28515625" style="5" customWidth="1"/>
    <col min="10" max="10" width="53.140625" style="5" customWidth="1"/>
    <col min="11" max="11" width="37.7109375" style="5" customWidth="1"/>
    <col min="12" max="12" width="69.5703125" style="5" customWidth="1"/>
    <col min="13" max="13" width="52.140625" style="5" customWidth="1"/>
    <col min="14" max="14" width="28.140625" style="5" bestFit="1" customWidth="1"/>
    <col min="15" max="15" width="47.140625" style="5" customWidth="1"/>
    <col min="16" max="16" width="49.7109375" style="5" customWidth="1"/>
    <col min="17" max="17" width="31.5703125" style="5" customWidth="1"/>
    <col min="18" max="18" width="48.140625" style="5" customWidth="1"/>
    <col min="19" max="19" width="47.5703125" style="5" customWidth="1"/>
    <col min="20" max="20" width="41.42578125" style="5" customWidth="1"/>
    <col min="21" max="21" width="38.5703125" style="5" customWidth="1"/>
    <col min="22" max="22" width="36.140625" style="5" customWidth="1"/>
    <col min="23" max="23" width="18.5703125" style="5" bestFit="1" customWidth="1"/>
    <col min="24" max="24" width="20.42578125" style="5" bestFit="1" customWidth="1"/>
    <col min="25" max="25" width="37.7109375" style="5" bestFit="1" customWidth="1"/>
    <col min="26" max="26" width="14.7109375" style="5" bestFit="1" customWidth="1"/>
    <col min="27" max="27" width="39.7109375" style="5" bestFit="1" customWidth="1"/>
    <col min="28" max="28" width="29.140625" style="5" customWidth="1"/>
    <col min="29" max="16384" width="9.140625" style="5"/>
  </cols>
  <sheetData>
    <row r="1" spans="1:28" customFormat="1" ht="24" x14ac:dyDescent="0.4">
      <c r="A1" s="23" t="s">
        <v>2</v>
      </c>
      <c r="B1" s="24" t="s">
        <v>2</v>
      </c>
      <c r="C1" s="25" t="s">
        <v>3</v>
      </c>
      <c r="D1" s="25" t="s">
        <v>4</v>
      </c>
      <c r="E1" s="25" t="s">
        <v>5</v>
      </c>
      <c r="F1" s="25" t="s">
        <v>6</v>
      </c>
      <c r="G1" s="26" t="s">
        <v>63</v>
      </c>
      <c r="H1" s="25" t="s">
        <v>8</v>
      </c>
      <c r="I1" s="25" t="s">
        <v>9</v>
      </c>
      <c r="J1" s="25" t="s">
        <v>10</v>
      </c>
      <c r="K1" s="25" t="s">
        <v>11</v>
      </c>
      <c r="L1" s="25" t="s">
        <v>12</v>
      </c>
      <c r="M1" s="25" t="s">
        <v>13</v>
      </c>
      <c r="N1" s="25" t="s">
        <v>14</v>
      </c>
      <c r="O1" s="25" t="s">
        <v>15</v>
      </c>
      <c r="P1" s="25" t="s">
        <v>16</v>
      </c>
      <c r="Q1" s="25" t="s">
        <v>17</v>
      </c>
      <c r="R1" s="25" t="s">
        <v>18</v>
      </c>
      <c r="S1" s="25" t="s">
        <v>19</v>
      </c>
      <c r="T1" s="25" t="s">
        <v>20</v>
      </c>
      <c r="U1" s="25" t="s">
        <v>21</v>
      </c>
      <c r="V1" s="25" t="s">
        <v>22</v>
      </c>
      <c r="W1" s="25" t="s">
        <v>23</v>
      </c>
      <c r="X1" s="25" t="s">
        <v>24</v>
      </c>
      <c r="Y1" s="25" t="s">
        <v>25</v>
      </c>
      <c r="Z1" s="25" t="s">
        <v>26</v>
      </c>
      <c r="AA1" s="25" t="s">
        <v>27</v>
      </c>
      <c r="AB1" s="25" t="s">
        <v>28</v>
      </c>
    </row>
    <row r="2" spans="1:28" ht="122.25" x14ac:dyDescent="0.4">
      <c r="A2" s="26" t="s">
        <v>2</v>
      </c>
      <c r="B2" s="27" t="s">
        <v>29</v>
      </c>
      <c r="C2" s="28" t="s">
        <v>3</v>
      </c>
      <c r="D2" s="29"/>
      <c r="E2" s="29"/>
      <c r="F2" s="29"/>
      <c r="G2" s="29"/>
      <c r="H2" s="29"/>
      <c r="I2" s="29"/>
      <c r="J2" s="29"/>
      <c r="K2" s="29"/>
      <c r="L2" s="29"/>
      <c r="M2" s="29"/>
      <c r="N2" s="29"/>
      <c r="O2" s="29"/>
      <c r="P2" s="29"/>
      <c r="Q2" s="29"/>
      <c r="R2" s="29"/>
      <c r="S2" s="29"/>
      <c r="T2" s="29"/>
      <c r="U2" s="29"/>
      <c r="V2" s="29"/>
      <c r="W2" s="29"/>
      <c r="X2" s="29"/>
      <c r="Y2" s="29"/>
      <c r="Z2" s="29"/>
      <c r="AA2" s="29"/>
      <c r="AB2" s="29"/>
    </row>
    <row r="3" spans="1:28" ht="32.25" x14ac:dyDescent="0.4">
      <c r="A3" s="28" t="s">
        <v>3</v>
      </c>
      <c r="B3" s="30" t="s">
        <v>77</v>
      </c>
      <c r="C3" s="27" t="s">
        <v>30</v>
      </c>
      <c r="D3" s="26" t="s">
        <v>4</v>
      </c>
      <c r="E3" s="29"/>
      <c r="F3" s="29"/>
      <c r="G3" s="29"/>
      <c r="H3" s="29"/>
      <c r="I3" s="29"/>
      <c r="J3" s="29"/>
      <c r="K3" s="29"/>
      <c r="L3" s="29"/>
      <c r="M3" s="29"/>
      <c r="N3" s="29"/>
      <c r="O3" s="29"/>
      <c r="P3" s="29"/>
      <c r="Q3" s="29"/>
      <c r="R3" s="29"/>
      <c r="S3" s="29"/>
      <c r="T3" s="29"/>
      <c r="U3" s="29"/>
      <c r="V3" s="29"/>
      <c r="W3" s="29"/>
      <c r="X3" s="29"/>
      <c r="Y3" s="29"/>
      <c r="Z3" s="29"/>
      <c r="AA3" s="29"/>
      <c r="AB3" s="29"/>
    </row>
    <row r="4" spans="1:28" ht="137.25" x14ac:dyDescent="0.4">
      <c r="A4" s="26" t="s">
        <v>4</v>
      </c>
      <c r="B4" s="30"/>
      <c r="C4" s="30"/>
      <c r="D4" s="27" t="s">
        <v>31</v>
      </c>
      <c r="E4" s="26" t="s">
        <v>5</v>
      </c>
      <c r="F4" s="29"/>
      <c r="G4" s="29"/>
      <c r="H4" s="29"/>
      <c r="I4" s="29"/>
      <c r="J4" s="29"/>
      <c r="K4" s="29"/>
      <c r="L4" s="29"/>
      <c r="M4" s="29"/>
      <c r="N4" s="29"/>
      <c r="O4" s="29"/>
      <c r="P4" s="29"/>
      <c r="Q4" s="29"/>
      <c r="R4" s="29"/>
      <c r="S4" s="29"/>
      <c r="T4" s="29"/>
      <c r="U4" s="29"/>
      <c r="V4" s="29"/>
      <c r="W4" s="29"/>
      <c r="X4" s="29"/>
      <c r="Y4" s="29"/>
      <c r="Z4" s="29"/>
      <c r="AA4" s="29"/>
      <c r="AB4" s="29"/>
    </row>
    <row r="5" spans="1:28" ht="137.25" x14ac:dyDescent="0.4">
      <c r="A5" s="26" t="s">
        <v>5</v>
      </c>
      <c r="B5" s="27" t="s">
        <v>148</v>
      </c>
      <c r="C5" s="30"/>
      <c r="D5" s="30"/>
      <c r="E5" s="27" t="s">
        <v>32</v>
      </c>
      <c r="F5" s="28" t="s">
        <v>6</v>
      </c>
      <c r="G5" s="29"/>
      <c r="H5" s="29"/>
      <c r="I5" s="29"/>
      <c r="J5" s="29"/>
      <c r="K5" s="29"/>
      <c r="L5" s="29"/>
      <c r="M5" s="29"/>
      <c r="N5" s="29"/>
      <c r="O5" s="29"/>
      <c r="P5" s="29"/>
      <c r="Q5" s="29"/>
      <c r="R5" s="29"/>
      <c r="S5" s="29"/>
      <c r="T5" s="29"/>
      <c r="U5" s="29"/>
      <c r="V5" s="29"/>
      <c r="W5" s="29"/>
      <c r="X5" s="29"/>
      <c r="Y5" s="29"/>
      <c r="Z5" s="29"/>
      <c r="AA5" s="29"/>
      <c r="AB5" s="29"/>
    </row>
    <row r="6" spans="1:28" ht="180" customHeight="1" x14ac:dyDescent="0.4">
      <c r="A6" s="28" t="s">
        <v>6</v>
      </c>
      <c r="B6" s="27" t="s">
        <v>59</v>
      </c>
      <c r="C6" s="27" t="s">
        <v>60</v>
      </c>
      <c r="D6" s="27" t="s">
        <v>58</v>
      </c>
      <c r="E6" s="30"/>
      <c r="F6" s="27" t="s">
        <v>65</v>
      </c>
      <c r="G6" s="26" t="s">
        <v>63</v>
      </c>
      <c r="H6" s="29"/>
      <c r="I6" s="29"/>
      <c r="J6" s="29"/>
      <c r="K6" s="29"/>
      <c r="L6" s="29"/>
      <c r="M6" s="29"/>
      <c r="N6" s="29"/>
      <c r="O6" s="29"/>
      <c r="P6" s="29"/>
      <c r="Q6" s="29"/>
      <c r="R6" s="29"/>
      <c r="S6" s="29"/>
      <c r="T6" s="29"/>
      <c r="U6" s="29"/>
      <c r="V6" s="29"/>
      <c r="W6" s="29"/>
      <c r="X6" s="29"/>
      <c r="Y6" s="29"/>
      <c r="Z6" s="29"/>
      <c r="AA6" s="29"/>
      <c r="AB6" s="29"/>
    </row>
    <row r="7" spans="1:28" ht="176.25" customHeight="1" x14ac:dyDescent="0.4">
      <c r="A7" s="26" t="s">
        <v>63</v>
      </c>
      <c r="B7" s="30"/>
      <c r="C7" s="30"/>
      <c r="D7" s="30"/>
      <c r="E7" s="30"/>
      <c r="F7" s="27" t="s">
        <v>66</v>
      </c>
      <c r="G7" s="27" t="s">
        <v>64</v>
      </c>
      <c r="H7" s="28" t="s">
        <v>8</v>
      </c>
      <c r="I7" s="29"/>
      <c r="J7" s="29"/>
      <c r="K7" s="29"/>
      <c r="L7" s="29"/>
      <c r="M7" s="29"/>
      <c r="N7" s="29"/>
      <c r="O7" s="29"/>
      <c r="P7" s="29"/>
      <c r="Q7" s="29"/>
      <c r="R7" s="29"/>
      <c r="S7" s="29"/>
      <c r="T7" s="29"/>
      <c r="U7" s="29"/>
      <c r="V7" s="29"/>
      <c r="W7" s="29"/>
      <c r="X7" s="29"/>
      <c r="Y7" s="29"/>
      <c r="Z7" s="29"/>
      <c r="AA7" s="29"/>
      <c r="AB7" s="29"/>
    </row>
    <row r="8" spans="1:28" ht="24" x14ac:dyDescent="0.4">
      <c r="A8" s="28" t="s">
        <v>8</v>
      </c>
      <c r="B8" s="30"/>
      <c r="C8" s="30"/>
      <c r="D8" s="30"/>
      <c r="E8" s="30"/>
      <c r="F8" s="30"/>
      <c r="G8" s="30"/>
      <c r="H8" s="30" t="s">
        <v>37</v>
      </c>
      <c r="I8" s="26" t="s">
        <v>9</v>
      </c>
      <c r="J8" s="29"/>
      <c r="K8" s="29"/>
      <c r="L8" s="29"/>
      <c r="M8" s="29"/>
      <c r="N8" s="29"/>
      <c r="O8" s="29"/>
      <c r="P8" s="29"/>
      <c r="Q8" s="29"/>
      <c r="R8" s="29"/>
      <c r="S8" s="29"/>
      <c r="T8" s="29"/>
      <c r="U8" s="29"/>
      <c r="V8" s="29"/>
      <c r="W8" s="29"/>
      <c r="X8" s="29"/>
      <c r="Y8" s="29"/>
      <c r="Z8" s="29"/>
      <c r="AA8" s="29"/>
      <c r="AB8" s="29"/>
    </row>
    <row r="9" spans="1:28" ht="197.25" x14ac:dyDescent="0.4">
      <c r="A9" s="26" t="s">
        <v>9</v>
      </c>
      <c r="B9" s="30"/>
      <c r="C9" s="30"/>
      <c r="D9" s="30"/>
      <c r="E9" s="30"/>
      <c r="F9" s="30"/>
      <c r="G9" s="30"/>
      <c r="H9" s="30"/>
      <c r="I9" s="27" t="s">
        <v>38</v>
      </c>
      <c r="J9" s="28" t="s">
        <v>10</v>
      </c>
      <c r="K9" s="29"/>
      <c r="L9" s="29"/>
      <c r="M9" s="29"/>
      <c r="N9" s="29"/>
      <c r="O9" s="29"/>
      <c r="P9" s="29"/>
      <c r="Q9" s="29"/>
      <c r="R9" s="29"/>
      <c r="S9" s="29"/>
      <c r="T9" s="29"/>
      <c r="U9" s="29"/>
      <c r="V9" s="29"/>
      <c r="W9" s="29"/>
      <c r="X9" s="29"/>
      <c r="Y9" s="29"/>
      <c r="Z9" s="29"/>
      <c r="AA9" s="29"/>
      <c r="AB9" s="29"/>
    </row>
    <row r="10" spans="1:28" ht="243" customHeight="1" x14ac:dyDescent="0.4">
      <c r="A10" s="28" t="s">
        <v>10</v>
      </c>
      <c r="B10" s="30"/>
      <c r="C10" s="30"/>
      <c r="D10" s="30"/>
      <c r="E10" s="30"/>
      <c r="F10" s="30"/>
      <c r="G10" s="30"/>
      <c r="H10" s="30"/>
      <c r="I10" s="30"/>
      <c r="J10" s="27" t="s">
        <v>40</v>
      </c>
      <c r="K10" s="28" t="s">
        <v>11</v>
      </c>
      <c r="L10" s="29"/>
      <c r="M10" s="29"/>
      <c r="N10" s="29"/>
      <c r="O10" s="29"/>
      <c r="P10" s="29"/>
      <c r="Q10" s="29"/>
      <c r="R10" s="29"/>
      <c r="S10" s="29"/>
      <c r="T10" s="29"/>
      <c r="U10" s="29"/>
      <c r="V10" s="29"/>
      <c r="W10" s="29"/>
      <c r="X10" s="29"/>
      <c r="Y10" s="29"/>
      <c r="Z10" s="29"/>
      <c r="AA10" s="29"/>
      <c r="AB10" s="29"/>
    </row>
    <row r="11" spans="1:28" ht="92.25" x14ac:dyDescent="0.4">
      <c r="A11" s="28" t="s">
        <v>11</v>
      </c>
      <c r="B11" s="30"/>
      <c r="C11" s="30"/>
      <c r="D11" s="30"/>
      <c r="E11" s="30"/>
      <c r="F11" s="30"/>
      <c r="G11" s="30"/>
      <c r="H11" s="30"/>
      <c r="I11" s="30"/>
      <c r="J11" s="30"/>
      <c r="K11" s="27" t="s">
        <v>41</v>
      </c>
      <c r="L11" s="28" t="s">
        <v>12</v>
      </c>
      <c r="M11" s="29"/>
      <c r="N11" s="29"/>
      <c r="O11" s="29"/>
      <c r="P11" s="29"/>
      <c r="Q11" s="29"/>
      <c r="R11" s="29"/>
      <c r="S11" s="29"/>
      <c r="T11" s="29"/>
      <c r="U11" s="29"/>
      <c r="V11" s="29"/>
      <c r="W11" s="29"/>
      <c r="X11" s="29"/>
      <c r="Y11" s="29"/>
      <c r="Z11" s="29"/>
      <c r="AA11" s="29"/>
      <c r="AB11" s="29"/>
    </row>
    <row r="12" spans="1:28" ht="347.25" x14ac:dyDescent="0.4">
      <c r="A12" s="28" t="s">
        <v>12</v>
      </c>
      <c r="B12" s="31" t="s">
        <v>131</v>
      </c>
      <c r="C12" s="32" t="s">
        <v>146</v>
      </c>
      <c r="D12" s="31" t="s">
        <v>132</v>
      </c>
      <c r="E12" s="31" t="s">
        <v>142</v>
      </c>
      <c r="F12" s="32" t="s">
        <v>147</v>
      </c>
      <c r="G12" s="32"/>
      <c r="H12" s="27" t="s">
        <v>54</v>
      </c>
      <c r="I12" s="30"/>
      <c r="J12" s="30"/>
      <c r="K12" s="30"/>
      <c r="L12" s="27" t="s">
        <v>39</v>
      </c>
      <c r="M12" s="28" t="s">
        <v>13</v>
      </c>
      <c r="N12" s="29"/>
      <c r="O12" s="29"/>
      <c r="P12" s="29"/>
      <c r="Q12" s="29"/>
      <c r="R12" s="29"/>
      <c r="S12" s="29"/>
      <c r="T12" s="29"/>
      <c r="U12" s="29"/>
      <c r="V12" s="29"/>
      <c r="W12" s="29"/>
      <c r="X12" s="29"/>
      <c r="Y12" s="29"/>
      <c r="Z12" s="29"/>
      <c r="AA12" s="29"/>
      <c r="AB12" s="29"/>
    </row>
    <row r="13" spans="1:28" ht="182.25" x14ac:dyDescent="0.4">
      <c r="A13" s="28" t="s">
        <v>13</v>
      </c>
      <c r="B13" s="30"/>
      <c r="C13" s="30"/>
      <c r="D13" s="30"/>
      <c r="E13" s="30"/>
      <c r="F13" s="30"/>
      <c r="G13" s="30"/>
      <c r="H13" s="30"/>
      <c r="I13" s="30"/>
      <c r="J13" s="30"/>
      <c r="K13" s="30"/>
      <c r="L13" s="30"/>
      <c r="M13" s="27" t="s">
        <v>33</v>
      </c>
      <c r="N13" s="28" t="s">
        <v>14</v>
      </c>
      <c r="O13" s="29"/>
      <c r="P13" s="29"/>
      <c r="Q13" s="29"/>
      <c r="R13" s="29"/>
      <c r="S13" s="29"/>
      <c r="T13" s="29"/>
      <c r="U13" s="29"/>
      <c r="V13" s="29"/>
      <c r="W13" s="29"/>
      <c r="X13" s="29"/>
      <c r="Y13" s="29"/>
      <c r="Z13" s="29"/>
      <c r="AA13" s="29"/>
      <c r="AB13" s="29"/>
    </row>
    <row r="14" spans="1:28" ht="212.25" x14ac:dyDescent="0.4">
      <c r="A14" s="28" t="s">
        <v>14</v>
      </c>
      <c r="B14" s="30"/>
      <c r="C14" s="30"/>
      <c r="D14" s="30"/>
      <c r="E14" s="30"/>
      <c r="F14" s="27" t="s">
        <v>62</v>
      </c>
      <c r="G14" s="30"/>
      <c r="H14" s="30"/>
      <c r="I14" s="30"/>
      <c r="J14" s="30"/>
      <c r="K14" s="30"/>
      <c r="L14" s="27" t="s">
        <v>57</v>
      </c>
      <c r="M14" s="30"/>
      <c r="N14" s="30" t="s">
        <v>61</v>
      </c>
      <c r="O14" s="26" t="s">
        <v>15</v>
      </c>
      <c r="P14" s="29"/>
      <c r="Q14" s="29"/>
      <c r="R14" s="29"/>
      <c r="S14" s="29"/>
      <c r="T14" s="29"/>
      <c r="U14" s="29"/>
      <c r="V14" s="29"/>
      <c r="W14" s="29"/>
      <c r="X14" s="29"/>
      <c r="Y14" s="29"/>
      <c r="Z14" s="29"/>
      <c r="AA14" s="29"/>
      <c r="AB14" s="29"/>
    </row>
    <row r="15" spans="1:28" ht="407.25" customHeight="1" x14ac:dyDescent="0.4">
      <c r="A15" s="26" t="s">
        <v>15</v>
      </c>
      <c r="B15" s="30"/>
      <c r="C15" s="30"/>
      <c r="D15" s="30"/>
      <c r="E15" s="30"/>
      <c r="F15" s="27" t="s">
        <v>67</v>
      </c>
      <c r="G15" s="30"/>
      <c r="H15" s="30"/>
      <c r="I15" s="30"/>
      <c r="J15" s="30"/>
      <c r="K15" s="30"/>
      <c r="L15" s="27" t="s">
        <v>141</v>
      </c>
      <c r="M15" s="32"/>
      <c r="N15" s="30"/>
      <c r="O15" s="27" t="s">
        <v>34</v>
      </c>
      <c r="P15" s="28" t="s">
        <v>16</v>
      </c>
      <c r="Q15" s="29"/>
      <c r="R15" s="29"/>
      <c r="S15" s="29"/>
      <c r="T15" s="29"/>
      <c r="U15" s="29"/>
      <c r="V15" s="29"/>
      <c r="W15" s="29"/>
      <c r="X15" s="29"/>
      <c r="Y15" s="29"/>
      <c r="Z15" s="29"/>
      <c r="AA15" s="29"/>
      <c r="AB15" s="29"/>
    </row>
    <row r="16" spans="1:28" ht="197.25" x14ac:dyDescent="0.4">
      <c r="A16" s="28" t="s">
        <v>16</v>
      </c>
      <c r="B16" s="30"/>
      <c r="C16" s="30"/>
      <c r="D16" s="30"/>
      <c r="E16" s="30"/>
      <c r="F16" s="27" t="s">
        <v>68</v>
      </c>
      <c r="G16" s="30"/>
      <c r="H16" s="30"/>
      <c r="I16" s="30"/>
      <c r="J16" s="30"/>
      <c r="K16" s="30"/>
      <c r="L16" s="27" t="s">
        <v>54</v>
      </c>
      <c r="M16" s="32"/>
      <c r="N16" s="30"/>
      <c r="O16" s="30"/>
      <c r="P16" s="27" t="s">
        <v>35</v>
      </c>
      <c r="Q16" s="26" t="s">
        <v>17</v>
      </c>
      <c r="R16" s="29"/>
      <c r="S16" s="29"/>
      <c r="T16" s="29"/>
      <c r="U16" s="29"/>
      <c r="V16" s="29"/>
      <c r="W16" s="29"/>
      <c r="X16" s="29"/>
      <c r="Y16" s="29"/>
      <c r="Z16" s="29"/>
      <c r="AA16" s="29"/>
      <c r="AB16" s="29"/>
    </row>
    <row r="17" spans="1:29" ht="92.25" x14ac:dyDescent="0.4">
      <c r="A17" s="26" t="s">
        <v>17</v>
      </c>
      <c r="B17" s="30"/>
      <c r="C17" s="30"/>
      <c r="D17" s="30"/>
      <c r="E17" s="30"/>
      <c r="F17" s="30"/>
      <c r="G17" s="30"/>
      <c r="H17" s="30"/>
      <c r="I17" s="30"/>
      <c r="J17" s="30"/>
      <c r="K17" s="30"/>
      <c r="L17" s="27" t="s">
        <v>135</v>
      </c>
      <c r="M17" s="32"/>
      <c r="N17" s="30"/>
      <c r="O17" s="30"/>
      <c r="P17" s="30"/>
      <c r="Q17" s="27" t="s">
        <v>36</v>
      </c>
      <c r="R17" s="26" t="s">
        <v>18</v>
      </c>
      <c r="S17" s="29"/>
      <c r="T17" s="29"/>
      <c r="U17" s="29"/>
      <c r="V17" s="29"/>
      <c r="W17" s="29"/>
      <c r="X17" s="29"/>
      <c r="Y17" s="29"/>
      <c r="Z17" s="29"/>
      <c r="AA17" s="29"/>
      <c r="AB17" s="29"/>
    </row>
    <row r="18" spans="1:29" ht="257.25" x14ac:dyDescent="0.4">
      <c r="A18" s="26" t="s">
        <v>18</v>
      </c>
      <c r="B18" s="30"/>
      <c r="C18" s="30"/>
      <c r="D18" s="30"/>
      <c r="E18" s="30"/>
      <c r="F18" s="30"/>
      <c r="G18" s="30"/>
      <c r="H18" s="30"/>
      <c r="I18" s="30"/>
      <c r="J18" s="30"/>
      <c r="K18" s="30"/>
      <c r="L18" s="27" t="s">
        <v>143</v>
      </c>
      <c r="M18" s="32"/>
      <c r="N18" s="30"/>
      <c r="O18" s="30"/>
      <c r="P18" s="30"/>
      <c r="Q18" s="30"/>
      <c r="R18" s="30"/>
      <c r="S18" s="28" t="s">
        <v>42</v>
      </c>
      <c r="T18" s="29"/>
      <c r="U18" s="29"/>
      <c r="V18" s="29"/>
      <c r="W18" s="29"/>
      <c r="X18" s="29"/>
      <c r="Y18" s="29"/>
      <c r="Z18" s="29"/>
      <c r="AA18" s="29"/>
      <c r="AB18" s="29"/>
    </row>
    <row r="19" spans="1:29" ht="218.25" customHeight="1" x14ac:dyDescent="0.4">
      <c r="A19" s="28" t="s">
        <v>69</v>
      </c>
      <c r="B19" s="27" t="s">
        <v>76</v>
      </c>
      <c r="C19" s="30"/>
      <c r="D19" s="30"/>
      <c r="E19" s="30"/>
      <c r="F19" s="27" t="s">
        <v>72</v>
      </c>
      <c r="G19" s="30"/>
      <c r="H19" s="30"/>
      <c r="I19" s="30"/>
      <c r="J19" s="30"/>
      <c r="K19" s="30"/>
      <c r="L19" s="27" t="s">
        <v>140</v>
      </c>
      <c r="M19" s="32"/>
      <c r="N19" s="30"/>
      <c r="O19" s="30"/>
      <c r="P19" s="30"/>
      <c r="Q19" s="30"/>
      <c r="R19" s="27" t="s">
        <v>133</v>
      </c>
      <c r="S19" s="27" t="s">
        <v>43</v>
      </c>
      <c r="T19" s="26" t="s">
        <v>20</v>
      </c>
      <c r="U19" s="29"/>
      <c r="V19" s="29"/>
      <c r="W19" s="29"/>
      <c r="X19" s="29"/>
      <c r="Y19" s="29"/>
      <c r="Z19" s="29"/>
      <c r="AA19" s="29"/>
      <c r="AB19" s="29"/>
    </row>
    <row r="20" spans="1:29" ht="152.25" x14ac:dyDescent="0.4">
      <c r="A20" s="26" t="s">
        <v>20</v>
      </c>
      <c r="B20" s="30"/>
      <c r="C20" s="30"/>
      <c r="D20" s="30"/>
      <c r="E20" s="30"/>
      <c r="F20" s="27" t="s">
        <v>70</v>
      </c>
      <c r="G20" s="30"/>
      <c r="H20" s="30"/>
      <c r="I20" s="30"/>
      <c r="J20" s="30"/>
      <c r="K20" s="30"/>
      <c r="L20" s="27" t="s">
        <v>137</v>
      </c>
      <c r="M20" s="32"/>
      <c r="N20" s="30"/>
      <c r="O20" s="30"/>
      <c r="P20" s="30"/>
      <c r="Q20" s="30"/>
      <c r="R20" s="30"/>
      <c r="S20" s="30"/>
      <c r="T20" s="27" t="s">
        <v>44</v>
      </c>
      <c r="U20" s="26" t="s">
        <v>21</v>
      </c>
      <c r="V20" s="29"/>
      <c r="W20" s="29"/>
      <c r="X20" s="29"/>
      <c r="Y20" s="29"/>
      <c r="Z20" s="29"/>
      <c r="AA20" s="29"/>
      <c r="AB20" s="29"/>
    </row>
    <row r="21" spans="1:29" ht="107.25" x14ac:dyDescent="0.4">
      <c r="A21" s="26" t="s">
        <v>21</v>
      </c>
      <c r="B21" s="30"/>
      <c r="C21" s="30"/>
      <c r="D21" s="30"/>
      <c r="E21" s="30"/>
      <c r="F21" s="30"/>
      <c r="G21" s="30"/>
      <c r="H21" s="30"/>
      <c r="I21" s="30"/>
      <c r="J21" s="30"/>
      <c r="K21" s="30"/>
      <c r="L21" s="27" t="s">
        <v>134</v>
      </c>
      <c r="M21" s="32"/>
      <c r="N21" s="30"/>
      <c r="O21" s="30"/>
      <c r="P21" s="30"/>
      <c r="Q21" s="30"/>
      <c r="R21" s="30"/>
      <c r="S21" s="30"/>
      <c r="T21" s="30"/>
      <c r="U21" s="27" t="s">
        <v>45</v>
      </c>
      <c r="V21" s="26" t="s">
        <v>22</v>
      </c>
      <c r="W21" s="29"/>
      <c r="X21" s="29"/>
      <c r="Y21" s="29"/>
      <c r="Z21" s="29"/>
      <c r="AA21" s="29"/>
      <c r="AB21" s="29"/>
    </row>
    <row r="22" spans="1:29" ht="137.25" x14ac:dyDescent="0.4">
      <c r="A22" s="26" t="s">
        <v>22</v>
      </c>
      <c r="B22" s="30"/>
      <c r="C22" s="30"/>
      <c r="D22" s="30"/>
      <c r="E22" s="30"/>
      <c r="F22" s="30"/>
      <c r="G22" s="30"/>
      <c r="H22" s="30"/>
      <c r="I22" s="30"/>
      <c r="J22" s="30"/>
      <c r="K22" s="30"/>
      <c r="L22" s="27" t="s">
        <v>138</v>
      </c>
      <c r="M22" s="32"/>
      <c r="N22" s="30"/>
      <c r="O22" s="30"/>
      <c r="P22" s="30"/>
      <c r="Q22" s="30"/>
      <c r="R22" s="30"/>
      <c r="S22" s="30"/>
      <c r="T22" s="30"/>
      <c r="U22" s="30"/>
      <c r="V22" s="27" t="s">
        <v>46</v>
      </c>
      <c r="W22" s="26" t="s">
        <v>23</v>
      </c>
      <c r="X22" s="29"/>
      <c r="Y22" s="29"/>
      <c r="Z22" s="29"/>
      <c r="AA22" s="29"/>
      <c r="AB22" s="29"/>
    </row>
    <row r="23" spans="1:29" ht="77.25" x14ac:dyDescent="0.4">
      <c r="A23" s="26" t="s">
        <v>23</v>
      </c>
      <c r="B23" s="30"/>
      <c r="C23" s="30"/>
      <c r="D23" s="30"/>
      <c r="E23" s="30"/>
      <c r="F23" s="27" t="s">
        <v>71</v>
      </c>
      <c r="G23" s="30"/>
      <c r="H23" s="30"/>
      <c r="I23" s="30"/>
      <c r="J23" s="30"/>
      <c r="K23" s="30"/>
      <c r="L23" s="27" t="s">
        <v>136</v>
      </c>
      <c r="M23" s="32"/>
      <c r="N23" s="30"/>
      <c r="O23" s="30"/>
      <c r="P23" s="30"/>
      <c r="Q23" s="30"/>
      <c r="R23" s="30"/>
      <c r="S23" s="30"/>
      <c r="T23" s="30"/>
      <c r="U23" s="30"/>
      <c r="V23" s="30"/>
      <c r="W23" s="27" t="s">
        <v>47</v>
      </c>
      <c r="X23" s="26" t="s">
        <v>24</v>
      </c>
      <c r="Y23" s="29"/>
      <c r="Z23" s="29"/>
      <c r="AA23" s="29"/>
      <c r="AB23" s="29"/>
    </row>
    <row r="24" spans="1:29" ht="212.25" x14ac:dyDescent="0.4">
      <c r="A24" s="26" t="s">
        <v>24</v>
      </c>
      <c r="B24" s="30"/>
      <c r="C24" s="30"/>
      <c r="D24" s="30"/>
      <c r="E24" s="30"/>
      <c r="F24" s="27" t="s">
        <v>73</v>
      </c>
      <c r="G24" s="30"/>
      <c r="H24" s="30"/>
      <c r="I24" s="30"/>
      <c r="J24" s="30"/>
      <c r="K24" s="30"/>
      <c r="L24" s="27" t="s">
        <v>144</v>
      </c>
      <c r="M24" s="32"/>
      <c r="N24" s="30"/>
      <c r="O24" s="30"/>
      <c r="P24" s="30"/>
      <c r="Q24" s="30"/>
      <c r="R24" s="30"/>
      <c r="S24" s="30"/>
      <c r="T24" s="30"/>
      <c r="U24" s="30"/>
      <c r="V24" s="30"/>
      <c r="W24" s="30"/>
      <c r="X24" s="27" t="s">
        <v>48</v>
      </c>
      <c r="Y24" s="26" t="s">
        <v>51</v>
      </c>
      <c r="Z24" s="29"/>
      <c r="AA24" s="29"/>
      <c r="AB24" s="29"/>
    </row>
    <row r="25" spans="1:29" ht="77.25" x14ac:dyDescent="0.4">
      <c r="A25" s="26" t="s">
        <v>51</v>
      </c>
      <c r="B25" s="30"/>
      <c r="C25" s="30"/>
      <c r="D25" s="30"/>
      <c r="E25" s="30"/>
      <c r="F25" s="30"/>
      <c r="G25" s="30"/>
      <c r="H25" s="30"/>
      <c r="I25" s="30"/>
      <c r="J25" s="30"/>
      <c r="K25" s="30"/>
      <c r="L25" s="27" t="s">
        <v>56</v>
      </c>
      <c r="M25" s="32"/>
      <c r="N25" s="30"/>
      <c r="O25" s="30"/>
      <c r="P25" s="30"/>
      <c r="Q25" s="30"/>
      <c r="R25" s="30"/>
      <c r="S25" s="30"/>
      <c r="T25" s="30"/>
      <c r="U25" s="30"/>
      <c r="V25" s="30"/>
      <c r="W25" s="30"/>
      <c r="X25" s="30"/>
      <c r="Y25" s="30" t="s">
        <v>52</v>
      </c>
      <c r="Z25" s="26" t="s">
        <v>26</v>
      </c>
      <c r="AA25" s="29"/>
      <c r="AB25" s="29"/>
    </row>
    <row r="26" spans="1:29" ht="77.25" x14ac:dyDescent="0.4">
      <c r="A26" s="26" t="s">
        <v>26</v>
      </c>
      <c r="B26" s="30"/>
      <c r="C26" s="30"/>
      <c r="D26" s="30"/>
      <c r="E26" s="30"/>
      <c r="F26" s="27" t="s">
        <v>74</v>
      </c>
      <c r="G26" s="30"/>
      <c r="H26" s="30"/>
      <c r="I26" s="30"/>
      <c r="J26" s="30"/>
      <c r="K26" s="30"/>
      <c r="L26" s="27" t="s">
        <v>145</v>
      </c>
      <c r="M26" s="32"/>
      <c r="N26" s="30"/>
      <c r="O26" s="30"/>
      <c r="P26" s="30"/>
      <c r="Q26" s="30"/>
      <c r="R26" s="30"/>
      <c r="S26" s="30"/>
      <c r="T26" s="30"/>
      <c r="U26" s="30"/>
      <c r="V26" s="30"/>
      <c r="W26" s="30"/>
      <c r="X26" s="30"/>
      <c r="Y26" s="30"/>
      <c r="Z26" s="27" t="s">
        <v>49</v>
      </c>
      <c r="AA26" s="26" t="s">
        <v>27</v>
      </c>
      <c r="AB26" s="29"/>
    </row>
    <row r="27" spans="1:29" ht="92.25" x14ac:dyDescent="0.4">
      <c r="A27" s="26" t="s">
        <v>27</v>
      </c>
      <c r="B27" s="30"/>
      <c r="C27" s="30"/>
      <c r="D27" s="30"/>
      <c r="E27" s="30"/>
      <c r="F27" s="27" t="s">
        <v>75</v>
      </c>
      <c r="G27" s="30"/>
      <c r="H27" s="30"/>
      <c r="I27" s="30"/>
      <c r="J27" s="30"/>
      <c r="K27" s="30"/>
      <c r="L27" s="27" t="s">
        <v>139</v>
      </c>
      <c r="M27" s="32"/>
      <c r="N27" s="30"/>
      <c r="O27" s="30"/>
      <c r="P27" s="30"/>
      <c r="Q27" s="30"/>
      <c r="R27" s="30"/>
      <c r="S27" s="30"/>
      <c r="T27" s="30"/>
      <c r="U27" s="30"/>
      <c r="V27" s="30"/>
      <c r="W27" s="30"/>
      <c r="X27" s="30"/>
      <c r="Y27" s="30"/>
      <c r="Z27" s="30"/>
      <c r="AA27" s="27" t="s">
        <v>50</v>
      </c>
      <c r="AB27" s="28" t="s">
        <v>28</v>
      </c>
      <c r="AC27" s="8"/>
    </row>
    <row r="28" spans="1:29" ht="122.25" x14ac:dyDescent="0.4">
      <c r="A28" s="28" t="s">
        <v>28</v>
      </c>
      <c r="B28" s="30"/>
      <c r="C28" s="30"/>
      <c r="D28" s="30"/>
      <c r="E28" s="30"/>
      <c r="F28" s="30"/>
      <c r="G28" s="30"/>
      <c r="H28" s="30"/>
      <c r="I28" s="30"/>
      <c r="J28" s="30"/>
      <c r="K28" s="30"/>
      <c r="L28" s="27" t="s">
        <v>55</v>
      </c>
      <c r="M28" s="32"/>
      <c r="N28" s="30"/>
      <c r="O28" s="30"/>
      <c r="P28" s="30"/>
      <c r="Q28" s="30"/>
      <c r="R28" s="30"/>
      <c r="S28" s="30"/>
      <c r="T28" s="30"/>
      <c r="U28" s="30"/>
      <c r="V28" s="30"/>
      <c r="W28" s="30"/>
      <c r="X28" s="30"/>
      <c r="Y28" s="30"/>
      <c r="Z28" s="30"/>
      <c r="AA28" s="30"/>
      <c r="AB28" s="27" t="s">
        <v>53</v>
      </c>
    </row>
  </sheetData>
  <pageMargins left="0.7" right="0.7" top="0.75" bottom="0.75" header="0.3" footer="0.3"/>
  <pageSetup paperSize="119" orientation="portrait" horizontalDpi="1200" verticalDpi="12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C99031-6639-4771-942D-EA33F1759884}">
  <dimension ref="B2:J11"/>
  <sheetViews>
    <sheetView workbookViewId="0">
      <selection activeCell="A7" sqref="A7"/>
    </sheetView>
  </sheetViews>
  <sheetFormatPr defaultRowHeight="15" x14ac:dyDescent="0.25"/>
  <cols>
    <col min="1" max="2" width="32" bestFit="1" customWidth="1"/>
    <col min="6" max="6" width="9" bestFit="1" customWidth="1"/>
    <col min="7" max="7" width="37.140625" bestFit="1" customWidth="1"/>
  </cols>
  <sheetData>
    <row r="2" spans="2:10" x14ac:dyDescent="0.25">
      <c r="B2" s="5"/>
      <c r="C2" s="10" t="s">
        <v>114</v>
      </c>
      <c r="D2" s="10" t="s">
        <v>115</v>
      </c>
      <c r="E2" s="10" t="s">
        <v>116</v>
      </c>
      <c r="F2" s="10" t="s">
        <v>117</v>
      </c>
      <c r="G2" s="5"/>
      <c r="J2">
        <f t="shared" ref="J2:J10" si="0">SUM(C3:F3)</f>
        <v>1.54</v>
      </c>
    </row>
    <row r="3" spans="2:10" x14ac:dyDescent="0.25">
      <c r="B3" s="10" t="s">
        <v>113</v>
      </c>
      <c r="C3" s="5">
        <v>0.52</v>
      </c>
      <c r="D3" s="5">
        <v>0.08</v>
      </c>
      <c r="E3" s="5">
        <v>0.13</v>
      </c>
      <c r="F3" s="5">
        <v>0.81</v>
      </c>
      <c r="G3" s="5" t="s">
        <v>130</v>
      </c>
      <c r="J3">
        <f t="shared" si="0"/>
        <v>2.04</v>
      </c>
    </row>
    <row r="4" spans="2:10" x14ac:dyDescent="0.25">
      <c r="B4" s="22" t="s">
        <v>119</v>
      </c>
      <c r="C4" s="21">
        <v>0.32</v>
      </c>
      <c r="D4" s="21">
        <v>0.64</v>
      </c>
      <c r="E4" s="21">
        <v>0.42</v>
      </c>
      <c r="F4" s="5">
        <v>0.66</v>
      </c>
      <c r="G4" s="5" t="s">
        <v>129</v>
      </c>
      <c r="J4">
        <f t="shared" si="0"/>
        <v>2.0299999999999998</v>
      </c>
    </row>
    <row r="5" spans="2:10" x14ac:dyDescent="0.25">
      <c r="B5" s="22" t="s">
        <v>121</v>
      </c>
      <c r="C5" s="21">
        <v>0.31</v>
      </c>
      <c r="D5" s="21">
        <v>0.65</v>
      </c>
      <c r="E5" s="21">
        <v>0.42</v>
      </c>
      <c r="F5" s="5">
        <v>0.65</v>
      </c>
      <c r="G5" s="5" t="s">
        <v>129</v>
      </c>
      <c r="J5">
        <f t="shared" si="0"/>
        <v>2.0299999999999998</v>
      </c>
    </row>
    <row r="6" spans="2:10" x14ac:dyDescent="0.25">
      <c r="B6" s="22" t="s">
        <v>120</v>
      </c>
      <c r="C6" s="21">
        <v>0.32</v>
      </c>
      <c r="D6" s="21">
        <v>0.63</v>
      </c>
      <c r="E6" s="21">
        <v>0.42</v>
      </c>
      <c r="F6" s="5">
        <v>0.66</v>
      </c>
      <c r="G6" s="5" t="s">
        <v>129</v>
      </c>
      <c r="J6">
        <f t="shared" si="0"/>
        <v>1.01</v>
      </c>
    </row>
    <row r="7" spans="2:10" x14ac:dyDescent="0.25">
      <c r="B7" s="10" t="s">
        <v>122</v>
      </c>
      <c r="C7" s="5">
        <v>0.12</v>
      </c>
      <c r="D7" s="5">
        <v>0.38</v>
      </c>
      <c r="E7" s="5">
        <v>0.18</v>
      </c>
      <c r="F7" s="5">
        <v>0.33</v>
      </c>
      <c r="G7" s="5" t="s">
        <v>124</v>
      </c>
      <c r="J7">
        <f t="shared" si="0"/>
        <v>0.82000000000000006</v>
      </c>
    </row>
    <row r="8" spans="2:10" x14ac:dyDescent="0.25">
      <c r="B8" s="10" t="s">
        <v>123</v>
      </c>
      <c r="C8" s="5">
        <v>0.04</v>
      </c>
      <c r="D8" s="5">
        <v>0.01</v>
      </c>
      <c r="E8" s="5">
        <v>0.02</v>
      </c>
      <c r="F8" s="5">
        <v>0.75</v>
      </c>
      <c r="G8" s="5" t="s">
        <v>125</v>
      </c>
      <c r="J8">
        <f t="shared" si="0"/>
        <v>1.5100000000000002</v>
      </c>
    </row>
    <row r="9" spans="2:10" x14ac:dyDescent="0.25">
      <c r="B9" s="10" t="s">
        <v>126</v>
      </c>
      <c r="C9" s="5">
        <v>0.53</v>
      </c>
      <c r="D9" s="5">
        <v>0.06</v>
      </c>
      <c r="E9" s="5">
        <v>0.11</v>
      </c>
      <c r="F9" s="5">
        <v>0.81</v>
      </c>
      <c r="G9" s="5" t="s">
        <v>127</v>
      </c>
      <c r="J9">
        <f t="shared" si="0"/>
        <v>1.54</v>
      </c>
    </row>
    <row r="10" spans="2:10" x14ac:dyDescent="0.25">
      <c r="B10" s="10" t="s">
        <v>118</v>
      </c>
      <c r="C10" s="5">
        <v>0.52</v>
      </c>
      <c r="D10" s="5">
        <v>0.08</v>
      </c>
      <c r="E10" s="5">
        <v>0.13</v>
      </c>
      <c r="F10" s="5">
        <v>0.81</v>
      </c>
      <c r="G10" s="5"/>
      <c r="J10">
        <f t="shared" si="0"/>
        <v>2.0299999999999998</v>
      </c>
    </row>
    <row r="11" spans="2:10" x14ac:dyDescent="0.25">
      <c r="B11" s="10" t="s">
        <v>128</v>
      </c>
      <c r="C11" s="5">
        <v>0.31</v>
      </c>
      <c r="D11" s="5">
        <v>0.64</v>
      </c>
      <c r="E11" s="5">
        <v>0.42</v>
      </c>
      <c r="F11" s="5">
        <v>0.66</v>
      </c>
      <c r="G11" s="5"/>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AA8D22-FA19-460E-BB74-A5B1B48B60CB}">
  <dimension ref="A1:L34"/>
  <sheetViews>
    <sheetView topLeftCell="A10" workbookViewId="0">
      <selection activeCell="A27" sqref="A27"/>
    </sheetView>
  </sheetViews>
  <sheetFormatPr defaultRowHeight="15" x14ac:dyDescent="0.25"/>
  <cols>
    <col min="1" max="1" width="18.7109375" customWidth="1"/>
    <col min="2" max="2" width="13.5703125" customWidth="1"/>
    <col min="3" max="7" width="13" customWidth="1"/>
    <col min="8" max="8" width="42.28515625" customWidth="1"/>
    <col min="9" max="9" width="50.5703125" bestFit="1" customWidth="1"/>
    <col min="12" max="12" width="10.140625" bestFit="1" customWidth="1"/>
  </cols>
  <sheetData>
    <row r="1" spans="1:12" x14ac:dyDescent="0.25">
      <c r="K1" t="s">
        <v>85</v>
      </c>
      <c r="L1" s="12">
        <v>396030</v>
      </c>
    </row>
    <row r="2" spans="1:12" x14ac:dyDescent="0.25">
      <c r="D2" t="s">
        <v>107</v>
      </c>
      <c r="E2" t="s">
        <v>108</v>
      </c>
      <c r="F2" t="s">
        <v>109</v>
      </c>
      <c r="G2" t="s">
        <v>95</v>
      </c>
      <c r="H2" s="10" t="s">
        <v>98</v>
      </c>
      <c r="I2" s="10" t="s">
        <v>92</v>
      </c>
    </row>
    <row r="3" spans="1:12" x14ac:dyDescent="0.25">
      <c r="A3" s="10" t="s">
        <v>83</v>
      </c>
      <c r="B3" s="5"/>
      <c r="C3" s="5"/>
      <c r="D3" s="5"/>
      <c r="E3" s="5"/>
      <c r="F3" s="5"/>
      <c r="G3" s="5"/>
      <c r="H3" s="5"/>
      <c r="I3" s="5"/>
    </row>
    <row r="4" spans="1:12" x14ac:dyDescent="0.25">
      <c r="A4" s="11" t="s">
        <v>3</v>
      </c>
      <c r="B4" s="5"/>
      <c r="C4" s="5"/>
      <c r="D4" s="5"/>
      <c r="E4" s="5"/>
      <c r="F4" s="5" t="s">
        <v>110</v>
      </c>
      <c r="G4" s="5"/>
      <c r="H4" s="5" t="s">
        <v>80</v>
      </c>
      <c r="I4" s="5"/>
    </row>
    <row r="5" spans="1:12" x14ac:dyDescent="0.25">
      <c r="A5" s="11" t="s">
        <v>6</v>
      </c>
      <c r="B5" s="5"/>
      <c r="C5" s="5"/>
      <c r="D5" s="5"/>
      <c r="E5" s="5"/>
      <c r="F5" s="5" t="s">
        <v>110</v>
      </c>
      <c r="G5" s="5"/>
      <c r="H5" s="5" t="s">
        <v>80</v>
      </c>
      <c r="I5" s="5"/>
    </row>
    <row r="6" spans="1:12" x14ac:dyDescent="0.25">
      <c r="A6" s="11" t="s">
        <v>7</v>
      </c>
      <c r="B6" s="5"/>
      <c r="C6" s="5"/>
      <c r="D6" s="5"/>
      <c r="E6" s="5"/>
      <c r="F6" s="5" t="s">
        <v>110</v>
      </c>
      <c r="G6" s="5"/>
      <c r="H6" s="5" t="s">
        <v>80</v>
      </c>
      <c r="I6" s="5"/>
    </row>
    <row r="7" spans="1:12" x14ac:dyDescent="0.25">
      <c r="A7" s="11" t="s">
        <v>13</v>
      </c>
      <c r="B7" s="5"/>
      <c r="C7" s="5"/>
      <c r="D7" s="5"/>
      <c r="E7" s="5"/>
      <c r="F7" s="5" t="s">
        <v>111</v>
      </c>
      <c r="G7" s="5"/>
      <c r="H7" s="5" t="s">
        <v>106</v>
      </c>
      <c r="I7" s="5"/>
    </row>
    <row r="8" spans="1:12" x14ac:dyDescent="0.25">
      <c r="A8" s="11" t="s">
        <v>16</v>
      </c>
      <c r="B8" s="5"/>
      <c r="C8" s="5"/>
      <c r="D8" s="5"/>
      <c r="E8" s="5"/>
      <c r="F8" s="5" t="s">
        <v>111</v>
      </c>
      <c r="G8" s="5"/>
      <c r="H8" s="5" t="s">
        <v>81</v>
      </c>
      <c r="I8" s="5"/>
    </row>
    <row r="9" spans="1:12" x14ac:dyDescent="0.25">
      <c r="A9" s="11" t="s">
        <v>8</v>
      </c>
      <c r="B9" s="5"/>
      <c r="C9" s="5"/>
      <c r="D9" s="5"/>
      <c r="E9" s="5"/>
      <c r="F9" s="5" t="s">
        <v>110</v>
      </c>
      <c r="G9" s="5"/>
      <c r="H9" s="5" t="s">
        <v>104</v>
      </c>
      <c r="I9" s="5"/>
    </row>
    <row r="10" spans="1:12" x14ac:dyDescent="0.25">
      <c r="A10" s="11" t="s">
        <v>9</v>
      </c>
      <c r="B10" s="5"/>
      <c r="C10" s="5"/>
      <c r="D10" s="5"/>
      <c r="E10" s="5"/>
      <c r="F10" s="5"/>
      <c r="G10" s="5"/>
      <c r="H10" s="5" t="s">
        <v>90</v>
      </c>
    </row>
    <row r="11" spans="1:12" x14ac:dyDescent="0.25">
      <c r="A11" s="11" t="s">
        <v>12</v>
      </c>
      <c r="B11" s="5"/>
      <c r="C11" s="5"/>
      <c r="D11" s="5"/>
      <c r="E11" s="5"/>
      <c r="F11" s="5" t="s">
        <v>110</v>
      </c>
      <c r="G11" s="5"/>
      <c r="H11" s="5" t="s">
        <v>105</v>
      </c>
      <c r="I11" s="5"/>
    </row>
    <row r="12" spans="1:12" x14ac:dyDescent="0.25">
      <c r="A12" s="11" t="s">
        <v>10</v>
      </c>
      <c r="B12" s="5"/>
      <c r="C12" s="5"/>
      <c r="D12" s="5"/>
      <c r="E12" s="5"/>
      <c r="F12" s="5"/>
      <c r="G12" s="5"/>
      <c r="H12" s="5" t="s">
        <v>89</v>
      </c>
      <c r="I12" s="5" t="s">
        <v>93</v>
      </c>
    </row>
    <row r="13" spans="1:12" x14ac:dyDescent="0.25">
      <c r="A13" s="11" t="s">
        <v>11</v>
      </c>
      <c r="B13" s="5"/>
      <c r="C13" s="5"/>
      <c r="D13" s="5"/>
      <c r="E13" s="5"/>
      <c r="F13" s="5"/>
      <c r="G13" s="5"/>
      <c r="H13" s="5" t="s">
        <v>90</v>
      </c>
      <c r="I13" s="5"/>
    </row>
    <row r="14" spans="1:12" x14ac:dyDescent="0.25">
      <c r="A14" s="11" t="s">
        <v>25</v>
      </c>
      <c r="B14" s="5"/>
      <c r="C14" s="5"/>
      <c r="D14" s="5"/>
      <c r="E14" s="5"/>
      <c r="F14" s="5" t="s">
        <v>111</v>
      </c>
      <c r="G14" s="5"/>
      <c r="H14" s="5" t="s">
        <v>81</v>
      </c>
      <c r="I14" s="5"/>
    </row>
    <row r="15" spans="1:12" x14ac:dyDescent="0.25">
      <c r="A15" s="11" t="s">
        <v>51</v>
      </c>
      <c r="B15" s="5"/>
      <c r="C15" s="5"/>
      <c r="D15" s="5"/>
      <c r="E15" s="5"/>
      <c r="F15" s="5"/>
      <c r="G15" s="5"/>
      <c r="H15" s="5" t="s">
        <v>89</v>
      </c>
      <c r="I15" s="5" t="s">
        <v>82</v>
      </c>
    </row>
    <row r="16" spans="1:12" x14ac:dyDescent="0.25">
      <c r="A16" s="11" t="s">
        <v>78</v>
      </c>
      <c r="B16" s="5"/>
      <c r="C16" s="5"/>
      <c r="D16" s="5"/>
      <c r="E16" s="5"/>
      <c r="F16" s="5" t="s">
        <v>111</v>
      </c>
      <c r="G16" s="5"/>
      <c r="H16" s="5" t="s">
        <v>101</v>
      </c>
      <c r="I16" s="5"/>
    </row>
    <row r="17" spans="1:9" x14ac:dyDescent="0.25">
      <c r="A17" s="16" t="s">
        <v>19</v>
      </c>
      <c r="B17" s="5"/>
      <c r="C17" s="5"/>
      <c r="D17" s="5"/>
      <c r="E17" s="5"/>
      <c r="F17" s="5" t="s">
        <v>111</v>
      </c>
      <c r="G17" s="5"/>
      <c r="H17" s="5" t="s">
        <v>112</v>
      </c>
      <c r="I17" s="5"/>
    </row>
    <row r="18" spans="1:9" x14ac:dyDescent="0.25">
      <c r="A18" s="15" t="s">
        <v>84</v>
      </c>
      <c r="B18" s="19" t="s">
        <v>96</v>
      </c>
      <c r="C18" s="20" t="s">
        <v>97</v>
      </c>
      <c r="D18" s="18"/>
      <c r="E18" s="18"/>
      <c r="F18" s="18"/>
      <c r="G18" s="18"/>
      <c r="H18" s="13"/>
      <c r="I18" s="13"/>
    </row>
    <row r="19" spans="1:9" x14ac:dyDescent="0.25">
      <c r="A19" s="5" t="s">
        <v>2</v>
      </c>
      <c r="B19" s="5">
        <v>4.8228669545236469E-2</v>
      </c>
      <c r="C19" s="5">
        <v>191</v>
      </c>
      <c r="D19" s="5"/>
      <c r="E19" s="5"/>
      <c r="F19" s="5"/>
      <c r="G19" s="5"/>
      <c r="H19" s="5" t="s">
        <v>94</v>
      </c>
      <c r="I19" s="5"/>
    </row>
    <row r="20" spans="1:9" x14ac:dyDescent="0.25">
      <c r="A20" s="5" t="s">
        <v>4</v>
      </c>
      <c r="B20" s="5">
        <v>0.95371562760396944</v>
      </c>
      <c r="C20" s="5">
        <v>3777</v>
      </c>
      <c r="D20" s="5"/>
      <c r="E20" s="5"/>
      <c r="F20" s="5"/>
      <c r="G20" s="5"/>
      <c r="H20" s="5" t="s">
        <v>94</v>
      </c>
      <c r="I20" s="5"/>
    </row>
    <row r="21" spans="1:9" x14ac:dyDescent="0.25">
      <c r="A21" s="5" t="s">
        <v>5</v>
      </c>
      <c r="B21" s="5">
        <v>2.8406938868267555</v>
      </c>
      <c r="C21" s="5">
        <v>11250</v>
      </c>
      <c r="D21" s="5"/>
      <c r="E21" s="5"/>
      <c r="F21" s="5"/>
      <c r="G21" s="5"/>
      <c r="H21" s="5" t="s">
        <v>94</v>
      </c>
      <c r="I21" s="5"/>
    </row>
    <row r="22" spans="1:9" x14ac:dyDescent="0.25">
      <c r="A22" s="17" t="s">
        <v>15</v>
      </c>
      <c r="B22" s="5">
        <v>0</v>
      </c>
      <c r="C22" s="5">
        <v>0</v>
      </c>
      <c r="D22" s="5"/>
      <c r="E22" s="5"/>
      <c r="F22" s="5"/>
      <c r="G22" s="5"/>
      <c r="H22" s="5" t="s">
        <v>90</v>
      </c>
      <c r="I22" s="5"/>
    </row>
    <row r="23" spans="1:9" x14ac:dyDescent="0.25">
      <c r="A23" s="5" t="s">
        <v>17</v>
      </c>
      <c r="B23" s="5">
        <v>4.2168522586672728</v>
      </c>
      <c r="C23" s="5">
        <v>16700</v>
      </c>
      <c r="D23" s="5"/>
      <c r="E23" s="5"/>
      <c r="F23" s="5"/>
      <c r="G23" s="5"/>
      <c r="H23" s="5" t="s">
        <v>94</v>
      </c>
      <c r="I23" s="5"/>
    </row>
    <row r="24" spans="1:9" x14ac:dyDescent="0.25">
      <c r="A24" s="5" t="s">
        <v>18</v>
      </c>
      <c r="B24" s="5">
        <v>6.9439183900209575E-2</v>
      </c>
      <c r="C24" s="5">
        <v>275</v>
      </c>
      <c r="D24" s="5"/>
      <c r="E24" s="5"/>
      <c r="F24" s="5"/>
      <c r="G24" s="5"/>
      <c r="H24" s="5" t="s">
        <v>94</v>
      </c>
      <c r="I24" s="5"/>
    </row>
    <row r="25" spans="1:9" x14ac:dyDescent="0.25">
      <c r="A25" s="5" t="s">
        <v>69</v>
      </c>
      <c r="B25" s="5">
        <v>3.2664192106658585</v>
      </c>
      <c r="C25" s="5">
        <v>12936</v>
      </c>
      <c r="D25" s="5"/>
      <c r="E25" s="5"/>
      <c r="F25" s="5"/>
      <c r="G25" s="5"/>
      <c r="H25" s="5" t="s">
        <v>94</v>
      </c>
      <c r="I25" s="5" t="s">
        <v>91</v>
      </c>
    </row>
    <row r="26" spans="1:9" x14ac:dyDescent="0.25">
      <c r="A26" s="5" t="s">
        <v>21</v>
      </c>
      <c r="B26" s="5">
        <v>2.602580612579855</v>
      </c>
      <c r="C26" s="5">
        <v>10307</v>
      </c>
      <c r="D26" s="5"/>
      <c r="E26" s="5"/>
      <c r="F26" s="5"/>
      <c r="G26" s="5"/>
      <c r="H26" s="5" t="s">
        <v>94</v>
      </c>
      <c r="I26" s="5"/>
    </row>
    <row r="27" spans="1:9" x14ac:dyDescent="0.25">
      <c r="A27" s="5" t="s">
        <v>26</v>
      </c>
      <c r="B27" s="5">
        <v>14.584248668030201</v>
      </c>
      <c r="C27" s="5">
        <v>57758</v>
      </c>
      <c r="D27" s="5"/>
      <c r="E27" s="5"/>
      <c r="F27" s="5"/>
      <c r="G27" s="5"/>
      <c r="H27" s="5" t="s">
        <v>90</v>
      </c>
      <c r="I27" s="5" t="s">
        <v>87</v>
      </c>
    </row>
    <row r="28" spans="1:9" x14ac:dyDescent="0.25">
      <c r="A28" s="5" t="s">
        <v>23</v>
      </c>
      <c r="B28" s="5">
        <v>0</v>
      </c>
      <c r="C28" s="5"/>
      <c r="D28" s="5"/>
      <c r="E28" s="5"/>
      <c r="F28" s="5"/>
      <c r="G28" s="5"/>
      <c r="H28" s="5" t="s">
        <v>94</v>
      </c>
      <c r="I28" s="5" t="s">
        <v>100</v>
      </c>
    </row>
    <row r="29" spans="1:9" x14ac:dyDescent="0.25">
      <c r="A29" s="5" t="s">
        <v>24</v>
      </c>
      <c r="B29" s="5">
        <v>0</v>
      </c>
      <c r="C29" s="5"/>
      <c r="D29" s="5"/>
      <c r="E29" s="5"/>
      <c r="F29" s="5"/>
      <c r="G29" s="5"/>
      <c r="H29" s="5" t="s">
        <v>94</v>
      </c>
      <c r="I29" s="5" t="s">
        <v>100</v>
      </c>
    </row>
    <row r="30" spans="1:9" x14ac:dyDescent="0.25">
      <c r="A30" s="5" t="s">
        <v>20</v>
      </c>
      <c r="B30" s="5">
        <v>1.6410372951544074</v>
      </c>
      <c r="C30" s="5">
        <v>6499</v>
      </c>
      <c r="D30" s="5"/>
      <c r="E30" s="5"/>
      <c r="F30" s="5"/>
      <c r="G30" s="5"/>
      <c r="H30" s="5" t="s">
        <v>94</v>
      </c>
      <c r="I30" s="5"/>
    </row>
    <row r="31" spans="1:9" x14ac:dyDescent="0.25">
      <c r="A31" s="5" t="s">
        <v>22</v>
      </c>
      <c r="B31" s="5">
        <v>1.7278994015604878</v>
      </c>
      <c r="C31" s="5">
        <v>6843</v>
      </c>
      <c r="D31" s="5"/>
      <c r="E31" s="5"/>
      <c r="F31" s="5"/>
      <c r="G31" s="5"/>
      <c r="H31" s="5" t="s">
        <v>94</v>
      </c>
      <c r="I31" s="5"/>
    </row>
    <row r="32" spans="1:9" x14ac:dyDescent="0.25">
      <c r="A32" s="5" t="s">
        <v>27</v>
      </c>
      <c r="B32" s="5">
        <v>11.391813751483474</v>
      </c>
      <c r="C32" s="5">
        <v>45115</v>
      </c>
      <c r="D32" s="5"/>
      <c r="E32" s="5"/>
      <c r="F32" s="5"/>
      <c r="G32" s="5"/>
      <c r="H32" s="5" t="s">
        <v>90</v>
      </c>
      <c r="I32" s="5" t="s">
        <v>88</v>
      </c>
    </row>
    <row r="33" spans="1:9" x14ac:dyDescent="0.25">
      <c r="A33" s="16" t="s">
        <v>79</v>
      </c>
      <c r="B33" s="5">
        <v>3.5641239300053025</v>
      </c>
      <c r="C33" s="5">
        <v>14115</v>
      </c>
      <c r="D33" s="5"/>
      <c r="E33" s="5"/>
      <c r="F33" s="5"/>
      <c r="G33" s="5"/>
      <c r="H33" s="5" t="s">
        <v>102</v>
      </c>
      <c r="I33" s="14" t="s">
        <v>99</v>
      </c>
    </row>
    <row r="34" spans="1:9" x14ac:dyDescent="0.25">
      <c r="A34" s="16" t="s">
        <v>63</v>
      </c>
      <c r="B34" s="5">
        <f>C34*100/L1</f>
        <v>25.118551624876904</v>
      </c>
      <c r="C34" s="5">
        <v>99477</v>
      </c>
      <c r="D34" s="5"/>
      <c r="E34" s="5"/>
      <c r="F34" s="5"/>
      <c r="G34" s="5"/>
      <c r="H34" s="5" t="s">
        <v>103</v>
      </c>
      <c r="I34" s="10" t="s">
        <v>86</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96DCD-9254-4865-BD5B-A0563740FEEA}">
  <sheetPr codeName="Sheet2"/>
  <dimension ref="A1:AC28"/>
  <sheetViews>
    <sheetView zoomScale="70" zoomScaleNormal="70" workbookViewId="0">
      <selection activeCell="E19" sqref="E19"/>
    </sheetView>
  </sheetViews>
  <sheetFormatPr defaultRowHeight="15" x14ac:dyDescent="0.25"/>
  <cols>
    <col min="1" max="1" width="39.7109375" bestFit="1" customWidth="1"/>
    <col min="2" max="2" width="18.5703125" bestFit="1" customWidth="1"/>
    <col min="3" max="3" width="9.140625" bestFit="1" customWidth="1"/>
    <col min="4" max="4" width="16.7109375" bestFit="1" customWidth="1"/>
    <col min="5" max="5" width="22.42578125" bestFit="1" customWidth="1"/>
    <col min="6" max="6" width="11" bestFit="1" customWidth="1"/>
    <col min="7" max="7" width="18.5703125" bestFit="1" customWidth="1"/>
    <col min="8" max="8" width="37.7109375" bestFit="1" customWidth="1"/>
    <col min="9" max="10" width="14.7109375" bestFit="1" customWidth="1"/>
    <col min="11" max="11" width="11" bestFit="1" customWidth="1"/>
    <col min="12" max="12" width="22.42578125" bestFit="1" customWidth="1"/>
    <col min="13" max="13" width="18.5703125" bestFit="1" customWidth="1"/>
    <col min="14" max="14" width="28.140625" bestFit="1" customWidth="1"/>
    <col min="15" max="15" width="20.42578125" bestFit="1" customWidth="1"/>
    <col min="16" max="16" width="28.140625" bestFit="1" customWidth="1"/>
    <col min="17" max="17" width="20.42578125" bestFit="1" customWidth="1"/>
    <col min="18" max="18" width="7.28515625" bestFit="1" customWidth="1"/>
    <col min="19" max="20" width="18.5703125" bestFit="1" customWidth="1"/>
    <col min="21" max="22" width="16.7109375" bestFit="1" customWidth="1"/>
    <col min="23" max="23" width="18.5703125" bestFit="1" customWidth="1"/>
    <col min="24" max="24" width="20.42578125" bestFit="1" customWidth="1"/>
    <col min="25" max="25" width="37.7109375" bestFit="1" customWidth="1"/>
    <col min="26" max="26" width="14.7109375" bestFit="1" customWidth="1"/>
    <col min="27" max="27" width="39.7109375" bestFit="1" customWidth="1"/>
    <col min="28" max="28" width="11" bestFit="1" customWidth="1"/>
  </cols>
  <sheetData>
    <row r="1" spans="1:28" ht="23.25" x14ac:dyDescent="0.35">
      <c r="A1" t="s">
        <v>2</v>
      </c>
      <c r="B1" s="7" t="s">
        <v>2</v>
      </c>
      <c r="C1" s="9" t="s">
        <v>3</v>
      </c>
      <c r="D1" s="9" t="s">
        <v>4</v>
      </c>
      <c r="E1" s="9" t="s">
        <v>5</v>
      </c>
      <c r="F1" s="9" t="s">
        <v>6</v>
      </c>
      <c r="G1" s="9" t="s">
        <v>7</v>
      </c>
      <c r="H1" s="9" t="s">
        <v>8</v>
      </c>
      <c r="I1" s="9" t="s">
        <v>9</v>
      </c>
      <c r="J1" s="9" t="s">
        <v>10</v>
      </c>
      <c r="K1" s="9" t="s">
        <v>11</v>
      </c>
      <c r="L1" s="9" t="s">
        <v>12</v>
      </c>
      <c r="M1" s="9" t="s">
        <v>13</v>
      </c>
      <c r="N1" s="9" t="s">
        <v>14</v>
      </c>
      <c r="O1" s="9" t="s">
        <v>15</v>
      </c>
      <c r="P1" s="9" t="s">
        <v>16</v>
      </c>
      <c r="Q1" s="9" t="s">
        <v>17</v>
      </c>
      <c r="R1" s="9" t="s">
        <v>18</v>
      </c>
      <c r="S1" s="9" t="s">
        <v>19</v>
      </c>
      <c r="T1" s="9" t="s">
        <v>20</v>
      </c>
      <c r="U1" s="9" t="s">
        <v>21</v>
      </c>
      <c r="V1" s="9" t="s">
        <v>22</v>
      </c>
      <c r="W1" s="9" t="s">
        <v>23</v>
      </c>
      <c r="X1" s="9" t="s">
        <v>24</v>
      </c>
      <c r="Y1" s="9" t="s">
        <v>25</v>
      </c>
      <c r="Z1" s="9" t="s">
        <v>26</v>
      </c>
      <c r="AA1" s="9" t="s">
        <v>27</v>
      </c>
      <c r="AB1" s="9" t="s">
        <v>28</v>
      </c>
    </row>
    <row r="2" spans="1:28" ht="23.25" x14ac:dyDescent="0.35">
      <c r="A2" s="7" t="s">
        <v>2</v>
      </c>
      <c r="C2" s="7" t="s">
        <v>3</v>
      </c>
      <c r="D2" s="6"/>
      <c r="E2" s="6"/>
      <c r="F2" s="6"/>
      <c r="G2" s="6"/>
      <c r="H2" s="6"/>
      <c r="I2" s="6"/>
      <c r="J2" s="6"/>
      <c r="K2" s="6"/>
      <c r="L2" s="6"/>
      <c r="M2" s="6"/>
      <c r="N2" s="6"/>
      <c r="O2" s="6"/>
      <c r="P2" s="6"/>
      <c r="Q2" s="6"/>
      <c r="R2" s="6"/>
      <c r="S2" s="6"/>
      <c r="T2" s="6"/>
      <c r="U2" s="6"/>
      <c r="V2" s="6"/>
      <c r="W2" s="6"/>
      <c r="X2" s="6"/>
      <c r="Y2" s="6"/>
      <c r="Z2" s="6"/>
      <c r="AA2" s="6"/>
      <c r="AB2" s="6"/>
    </row>
    <row r="3" spans="1:28" ht="23.25" x14ac:dyDescent="0.35">
      <c r="A3" s="7" t="s">
        <v>3</v>
      </c>
      <c r="D3" s="7" t="s">
        <v>4</v>
      </c>
      <c r="E3" s="6"/>
      <c r="F3" s="6"/>
      <c r="G3" s="6"/>
      <c r="H3" s="6"/>
      <c r="I3" s="6"/>
      <c r="J3" s="6"/>
      <c r="K3" s="6"/>
      <c r="L3" s="6"/>
      <c r="M3" s="6"/>
      <c r="N3" s="6"/>
      <c r="O3" s="6"/>
      <c r="P3" s="6"/>
      <c r="Q3" s="6"/>
      <c r="R3" s="6"/>
      <c r="S3" s="6"/>
      <c r="T3" s="6"/>
      <c r="U3" s="6"/>
      <c r="V3" s="6"/>
      <c r="W3" s="6"/>
      <c r="X3" s="6"/>
      <c r="Y3" s="6"/>
      <c r="Z3" s="6"/>
      <c r="AA3" s="6"/>
      <c r="AB3" s="6"/>
    </row>
    <row r="4" spans="1:28" ht="23.25" x14ac:dyDescent="0.35">
      <c r="A4" s="7" t="s">
        <v>4</v>
      </c>
      <c r="E4" s="7" t="s">
        <v>5</v>
      </c>
      <c r="F4" s="6"/>
      <c r="G4" s="6"/>
      <c r="H4" s="6"/>
      <c r="I4" s="6"/>
      <c r="J4" s="6"/>
      <c r="K4" s="6"/>
      <c r="L4" s="6"/>
      <c r="M4" s="6"/>
      <c r="N4" s="6"/>
      <c r="O4" s="6"/>
      <c r="P4" s="6"/>
      <c r="Q4" s="6"/>
      <c r="R4" s="6"/>
      <c r="S4" s="6"/>
      <c r="T4" s="6"/>
      <c r="U4" s="6"/>
      <c r="V4" s="6"/>
      <c r="W4" s="6"/>
      <c r="X4" s="6"/>
      <c r="Y4" s="6"/>
      <c r="Z4" s="6"/>
      <c r="AA4" s="6"/>
      <c r="AB4" s="6"/>
    </row>
    <row r="5" spans="1:28" ht="23.25" x14ac:dyDescent="0.35">
      <c r="A5" s="7" t="s">
        <v>5</v>
      </c>
      <c r="F5" s="7" t="s">
        <v>6</v>
      </c>
      <c r="G5" s="6"/>
      <c r="H5" s="6"/>
      <c r="I5" s="6"/>
      <c r="J5" s="6"/>
      <c r="K5" s="6"/>
      <c r="L5" s="6"/>
      <c r="M5" s="6"/>
      <c r="N5" s="6"/>
      <c r="O5" s="6"/>
      <c r="P5" s="6"/>
      <c r="Q5" s="6"/>
      <c r="R5" s="6"/>
      <c r="S5" s="6"/>
      <c r="T5" s="6"/>
      <c r="U5" s="6"/>
      <c r="V5" s="6"/>
      <c r="W5" s="6"/>
      <c r="X5" s="6"/>
      <c r="Y5" s="6"/>
      <c r="Z5" s="6"/>
      <c r="AA5" s="6"/>
      <c r="AB5" s="6"/>
    </row>
    <row r="6" spans="1:28" ht="23.25" x14ac:dyDescent="0.35">
      <c r="A6" s="7" t="s">
        <v>6</v>
      </c>
      <c r="G6" s="7" t="s">
        <v>7</v>
      </c>
      <c r="H6" s="6"/>
      <c r="I6" s="6"/>
      <c r="J6" s="6"/>
      <c r="K6" s="6"/>
      <c r="L6" s="6"/>
      <c r="M6" s="6"/>
      <c r="N6" s="6"/>
      <c r="O6" s="6"/>
      <c r="P6" s="6"/>
      <c r="Q6" s="6"/>
      <c r="R6" s="6"/>
      <c r="S6" s="6"/>
      <c r="T6" s="6"/>
      <c r="U6" s="6"/>
      <c r="V6" s="6"/>
      <c r="W6" s="6"/>
      <c r="X6" s="6"/>
      <c r="Y6" s="6"/>
      <c r="Z6" s="6"/>
      <c r="AA6" s="6"/>
      <c r="AB6" s="6"/>
    </row>
    <row r="7" spans="1:28" ht="23.25" x14ac:dyDescent="0.35">
      <c r="A7" s="7" t="s">
        <v>7</v>
      </c>
      <c r="H7" s="7" t="s">
        <v>8</v>
      </c>
      <c r="I7" s="6"/>
      <c r="J7" s="6"/>
      <c r="K7" s="6"/>
      <c r="L7" s="6"/>
      <c r="M7" s="6"/>
      <c r="N7" s="6"/>
      <c r="O7" s="6"/>
      <c r="P7" s="6"/>
      <c r="Q7" s="6"/>
      <c r="R7" s="6"/>
      <c r="S7" s="6"/>
      <c r="T7" s="6"/>
      <c r="U7" s="6"/>
      <c r="V7" s="6"/>
      <c r="W7" s="6"/>
      <c r="X7" s="6"/>
      <c r="Y7" s="6"/>
      <c r="Z7" s="6"/>
      <c r="AA7" s="6"/>
      <c r="AB7" s="6"/>
    </row>
    <row r="8" spans="1:28" ht="23.25" x14ac:dyDescent="0.35">
      <c r="A8" s="7" t="s">
        <v>8</v>
      </c>
      <c r="I8" s="7" t="s">
        <v>9</v>
      </c>
      <c r="J8" s="6"/>
      <c r="K8" s="6"/>
      <c r="L8" s="6"/>
      <c r="M8" s="6"/>
      <c r="N8" s="6"/>
      <c r="O8" s="6"/>
      <c r="P8" s="6"/>
      <c r="Q8" s="6"/>
      <c r="R8" s="6"/>
      <c r="S8" s="6"/>
      <c r="T8" s="6"/>
      <c r="U8" s="6"/>
      <c r="V8" s="6"/>
      <c r="W8" s="6"/>
      <c r="X8" s="6"/>
      <c r="Y8" s="6"/>
      <c r="Z8" s="6"/>
      <c r="AA8" s="6"/>
      <c r="AB8" s="6"/>
    </row>
    <row r="9" spans="1:28" ht="23.25" x14ac:dyDescent="0.35">
      <c r="A9" s="7" t="s">
        <v>9</v>
      </c>
      <c r="J9" s="7" t="s">
        <v>10</v>
      </c>
      <c r="K9" s="6"/>
      <c r="L9" s="6"/>
      <c r="M9" s="6"/>
      <c r="N9" s="6"/>
      <c r="O9" s="6"/>
      <c r="P9" s="6"/>
      <c r="Q9" s="6"/>
      <c r="R9" s="6"/>
      <c r="S9" s="6"/>
      <c r="T9" s="6"/>
      <c r="U9" s="6"/>
      <c r="V9" s="6"/>
      <c r="W9" s="6"/>
      <c r="X9" s="6"/>
      <c r="Y9" s="6"/>
      <c r="Z9" s="6"/>
      <c r="AA9" s="6"/>
      <c r="AB9" s="6"/>
    </row>
    <row r="10" spans="1:28" ht="23.25" x14ac:dyDescent="0.35">
      <c r="A10" s="7" t="s">
        <v>10</v>
      </c>
      <c r="K10" s="7" t="s">
        <v>11</v>
      </c>
      <c r="L10" s="6"/>
      <c r="M10" s="6"/>
      <c r="N10" s="6"/>
      <c r="O10" s="6"/>
      <c r="P10" s="6"/>
      <c r="Q10" s="6"/>
      <c r="R10" s="6"/>
      <c r="S10" s="6"/>
      <c r="T10" s="6"/>
      <c r="U10" s="6"/>
      <c r="V10" s="6"/>
      <c r="W10" s="6"/>
      <c r="X10" s="6"/>
      <c r="Y10" s="6"/>
      <c r="Z10" s="6"/>
      <c r="AA10" s="6"/>
      <c r="AB10" s="6"/>
    </row>
    <row r="11" spans="1:28" ht="23.25" x14ac:dyDescent="0.35">
      <c r="A11" s="7" t="s">
        <v>11</v>
      </c>
      <c r="L11" s="7" t="s">
        <v>12</v>
      </c>
      <c r="M11" s="6"/>
      <c r="N11" s="6"/>
      <c r="O11" s="6"/>
      <c r="P11" s="6"/>
      <c r="Q11" s="6"/>
      <c r="R11" s="6"/>
      <c r="S11" s="6"/>
      <c r="T11" s="6"/>
      <c r="U11" s="6"/>
      <c r="V11" s="6"/>
      <c r="W11" s="6"/>
      <c r="X11" s="6"/>
      <c r="Y11" s="6"/>
      <c r="Z11" s="6"/>
      <c r="AA11" s="6"/>
      <c r="AB11" s="6"/>
    </row>
    <row r="12" spans="1:28" ht="23.25" x14ac:dyDescent="0.35">
      <c r="A12" s="7" t="s">
        <v>12</v>
      </c>
      <c r="M12" s="7" t="s">
        <v>13</v>
      </c>
      <c r="N12" s="6"/>
      <c r="O12" s="6"/>
      <c r="P12" s="6"/>
      <c r="Q12" s="6"/>
      <c r="R12" s="6"/>
      <c r="S12" s="6"/>
      <c r="T12" s="6"/>
      <c r="U12" s="6"/>
      <c r="V12" s="6"/>
      <c r="W12" s="6"/>
      <c r="X12" s="6"/>
      <c r="Y12" s="6"/>
      <c r="Z12" s="6"/>
      <c r="AA12" s="6"/>
      <c r="AB12" s="6"/>
    </row>
    <row r="13" spans="1:28" ht="23.25" x14ac:dyDescent="0.35">
      <c r="A13" s="7" t="s">
        <v>13</v>
      </c>
      <c r="N13" s="7" t="s">
        <v>14</v>
      </c>
      <c r="O13" s="6"/>
      <c r="P13" s="6"/>
      <c r="Q13" s="6"/>
      <c r="R13" s="6"/>
      <c r="S13" s="6"/>
      <c r="T13" s="6"/>
      <c r="U13" s="6"/>
      <c r="V13" s="6"/>
      <c r="W13" s="6"/>
      <c r="X13" s="6"/>
      <c r="Y13" s="6"/>
      <c r="Z13" s="6"/>
      <c r="AA13" s="6"/>
      <c r="AB13" s="6"/>
    </row>
    <row r="14" spans="1:28" ht="23.25" x14ac:dyDescent="0.35">
      <c r="A14" s="7" t="s">
        <v>14</v>
      </c>
      <c r="O14" s="7" t="s">
        <v>15</v>
      </c>
      <c r="P14" s="6"/>
      <c r="Q14" s="6"/>
      <c r="R14" s="6"/>
      <c r="S14" s="6"/>
      <c r="T14" s="6"/>
      <c r="U14" s="6"/>
      <c r="V14" s="6"/>
      <c r="W14" s="6"/>
      <c r="X14" s="6"/>
      <c r="Y14" s="6"/>
      <c r="Z14" s="6"/>
      <c r="AA14" s="6"/>
      <c r="AB14" s="6"/>
    </row>
    <row r="15" spans="1:28" ht="23.25" x14ac:dyDescent="0.35">
      <c r="A15" s="7" t="s">
        <v>15</v>
      </c>
      <c r="P15" s="7" t="s">
        <v>16</v>
      </c>
      <c r="Q15" s="6"/>
      <c r="R15" s="6"/>
      <c r="S15" s="6"/>
      <c r="T15" s="6"/>
      <c r="U15" s="6"/>
      <c r="V15" s="6"/>
      <c r="W15" s="6"/>
      <c r="X15" s="6"/>
      <c r="Y15" s="6"/>
      <c r="Z15" s="6"/>
      <c r="AA15" s="6"/>
      <c r="AB15" s="6"/>
    </row>
    <row r="16" spans="1:28" ht="23.25" x14ac:dyDescent="0.35">
      <c r="A16" s="7" t="s">
        <v>16</v>
      </c>
      <c r="Q16" s="7" t="s">
        <v>17</v>
      </c>
      <c r="R16" s="6"/>
      <c r="S16" s="6"/>
      <c r="T16" s="6"/>
      <c r="U16" s="6"/>
      <c r="V16" s="6"/>
      <c r="W16" s="6"/>
      <c r="X16" s="6"/>
      <c r="Y16" s="6"/>
      <c r="Z16" s="6"/>
      <c r="AA16" s="6"/>
      <c r="AB16" s="6"/>
    </row>
    <row r="17" spans="1:29" ht="23.25" x14ac:dyDescent="0.35">
      <c r="A17" s="7" t="s">
        <v>17</v>
      </c>
      <c r="R17" s="7" t="s">
        <v>18</v>
      </c>
      <c r="S17" s="6"/>
      <c r="T17" s="6"/>
      <c r="U17" s="6"/>
      <c r="V17" s="6"/>
      <c r="W17" s="6"/>
      <c r="X17" s="6"/>
      <c r="Y17" s="6"/>
      <c r="Z17" s="6"/>
      <c r="AA17" s="6"/>
      <c r="AB17" s="6"/>
    </row>
    <row r="18" spans="1:29" ht="23.25" x14ac:dyDescent="0.35">
      <c r="A18" s="7" t="s">
        <v>18</v>
      </c>
      <c r="S18" s="7" t="s">
        <v>19</v>
      </c>
      <c r="T18" s="6"/>
      <c r="U18" s="6"/>
      <c r="V18" s="6"/>
      <c r="W18" s="6"/>
      <c r="X18" s="6"/>
      <c r="Y18" s="6"/>
      <c r="Z18" s="6"/>
      <c r="AA18" s="6"/>
      <c r="AB18" s="6"/>
    </row>
    <row r="19" spans="1:29" ht="23.25" x14ac:dyDescent="0.35">
      <c r="A19" s="7" t="s">
        <v>19</v>
      </c>
      <c r="T19" s="7" t="s">
        <v>20</v>
      </c>
      <c r="U19" s="6"/>
      <c r="V19" s="6"/>
      <c r="W19" s="6"/>
      <c r="X19" s="6"/>
      <c r="Y19" s="6"/>
      <c r="Z19" s="6"/>
      <c r="AA19" s="6"/>
      <c r="AB19" s="6"/>
    </row>
    <row r="20" spans="1:29" ht="23.25" x14ac:dyDescent="0.35">
      <c r="A20" s="7" t="s">
        <v>20</v>
      </c>
      <c r="U20" s="7" t="s">
        <v>21</v>
      </c>
      <c r="V20" s="6"/>
      <c r="W20" s="6"/>
      <c r="X20" s="6"/>
      <c r="Y20" s="6"/>
      <c r="Z20" s="6"/>
      <c r="AA20" s="6"/>
      <c r="AB20" s="6"/>
    </row>
    <row r="21" spans="1:29" ht="23.25" x14ac:dyDescent="0.35">
      <c r="A21" s="7" t="s">
        <v>21</v>
      </c>
      <c r="V21" s="7" t="s">
        <v>22</v>
      </c>
      <c r="W21" s="6"/>
      <c r="X21" s="6"/>
      <c r="Y21" s="6"/>
      <c r="Z21" s="6"/>
      <c r="AA21" s="6"/>
      <c r="AB21" s="6"/>
    </row>
    <row r="22" spans="1:29" ht="23.25" x14ac:dyDescent="0.35">
      <c r="A22" s="7" t="s">
        <v>22</v>
      </c>
      <c r="W22" s="7" t="s">
        <v>23</v>
      </c>
      <c r="X22" s="6"/>
      <c r="Y22" s="6"/>
      <c r="Z22" s="6"/>
      <c r="AA22" s="6"/>
      <c r="AB22" s="6"/>
    </row>
    <row r="23" spans="1:29" ht="23.25" x14ac:dyDescent="0.35">
      <c r="A23" s="7" t="s">
        <v>23</v>
      </c>
      <c r="X23" s="7" t="s">
        <v>24</v>
      </c>
      <c r="Y23" s="6"/>
      <c r="Z23" s="6"/>
      <c r="AA23" s="6"/>
      <c r="AB23" s="6"/>
    </row>
    <row r="24" spans="1:29" ht="23.25" x14ac:dyDescent="0.35">
      <c r="A24" s="7" t="s">
        <v>24</v>
      </c>
      <c r="Y24" s="7" t="s">
        <v>25</v>
      </c>
      <c r="Z24" s="6"/>
      <c r="AA24" s="6"/>
      <c r="AB24" s="6"/>
    </row>
    <row r="25" spans="1:29" ht="23.25" x14ac:dyDescent="0.35">
      <c r="A25" s="7" t="s">
        <v>25</v>
      </c>
      <c r="Z25" s="7" t="s">
        <v>26</v>
      </c>
      <c r="AA25" s="6"/>
      <c r="AB25" s="6"/>
    </row>
    <row r="26" spans="1:29" ht="23.25" x14ac:dyDescent="0.35">
      <c r="A26" s="7" t="s">
        <v>26</v>
      </c>
      <c r="AA26" s="7" t="s">
        <v>27</v>
      </c>
      <c r="AB26" s="6"/>
    </row>
    <row r="27" spans="1:29" ht="23.25" x14ac:dyDescent="0.35">
      <c r="A27" s="7" t="s">
        <v>27</v>
      </c>
      <c r="AB27" s="7" t="s">
        <v>28</v>
      </c>
      <c r="AC27" s="6"/>
    </row>
    <row r="28" spans="1:29" ht="23.25" x14ac:dyDescent="0.35">
      <c r="A28" s="7" t="s">
        <v>28</v>
      </c>
      <c r="AB28" s="6"/>
      <c r="AC28" s="6"/>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GeneratorForHeadings</vt:lpstr>
      <vt:lpstr>AnalysisGrid</vt:lpstr>
      <vt:lpstr>ModelComparison</vt:lpstr>
      <vt:lpstr>PipelinePlanning</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Reyansh Gupta</dc:creator>
  <cp:lastModifiedBy>Reyansh Gupta</cp:lastModifiedBy>
  <cp:lastPrinted>2025-10-09T17:22:12Z</cp:lastPrinted>
  <dcterms:created xsi:type="dcterms:W3CDTF">2025-02-07T13:31:16Z</dcterms:created>
  <dcterms:modified xsi:type="dcterms:W3CDTF">2025-10-10T13:56:28Z</dcterms:modified>
</cp:coreProperties>
</file>