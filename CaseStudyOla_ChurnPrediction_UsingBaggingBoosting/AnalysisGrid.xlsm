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D:\Knowledge\DataScience\CODE_AND_PROJECTS\CaseStudyOla_BaggingBoosting\"/>
    </mc:Choice>
  </mc:AlternateContent>
  <xr:revisionPtr revIDLastSave="0" documentId="13_ncr:1_{DF7C08E0-E72F-4F36-A9BF-78563194E438}" xr6:coauthVersionLast="47" xr6:coauthVersionMax="47" xr10:uidLastSave="{00000000-0000-0000-0000-000000000000}"/>
  <bookViews>
    <workbookView xWindow="-120" yWindow="-120" windowWidth="38640" windowHeight="15225" tabRatio="575" xr2:uid="{F16C28BC-4A1C-4BA4-BDD8-BF2E16BB97FD}"/>
  </bookViews>
  <sheets>
    <sheet name="GeneratorForHeadings" sheetId="1" r:id="rId1"/>
    <sheet name="AnalysisGrid" sheetId="5" r:id="rId2"/>
    <sheet name="ModelComparison" sheetId="11" r:id="rId3"/>
    <sheet name="PipelinePlanning" sheetId="10" r:id="rId4"/>
    <sheet name="Sheet1" sheetId="8" r:id="rId5"/>
  </sheets>
  <definedNames>
    <definedName name="_xlnm._FilterDatabase" localSheetId="1" hidden="1">AnalysisGrid!#REF!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J10" i="11" l="1"/>
  <c r="J9" i="11"/>
  <c r="J8" i="11"/>
  <c r="J7" i="11"/>
  <c r="J6" i="11"/>
  <c r="J5" i="11"/>
  <c r="J4" i="11"/>
  <c r="J3" i="11"/>
  <c r="J2" i="11"/>
  <c r="B34" i="10"/>
</calcChain>
</file>

<file path=xl/sharedStrings.xml><?xml version="1.0" encoding="utf-8"?>
<sst xmlns="http://schemas.openxmlformats.org/spreadsheetml/2006/main" count="320" uniqueCount="175">
  <si>
    <r>
      <t>&lt;</t>
    </r>
    <r>
      <rPr>
        <sz val="11"/>
        <color rgb="FF569CD6"/>
        <rFont val="Consolas"/>
        <family val="3"/>
      </rPr>
      <t>span</t>
    </r>
    <r>
      <rPr>
        <sz val="11"/>
        <color rgb="FFCCCCCC"/>
        <rFont val="Consolas"/>
        <family val="3"/>
      </rPr>
      <t xml:space="preserve"> </t>
    </r>
    <r>
      <rPr>
        <sz val="11"/>
        <color rgb="FF9CDCFE"/>
        <rFont val="Consolas"/>
        <family val="3"/>
      </rPr>
      <t>style</t>
    </r>
    <r>
      <rPr>
        <sz val="11"/>
        <color rgb="FFCCCCCC"/>
        <rFont val="Consolas"/>
        <family val="3"/>
      </rPr>
      <t>=</t>
    </r>
    <r>
      <rPr>
        <sz val="11"/>
        <color rgb="FFCE9178"/>
        <rFont val="Consolas"/>
        <family val="3"/>
      </rPr>
      <t>"font-size:30px; font-family:Arial;color:orange"</t>
    </r>
    <r>
      <rPr>
        <sz val="11"/>
        <color rgb="FF808080"/>
        <rFont val="Consolas"/>
        <family val="3"/>
      </rPr>
      <t>&gt;</t>
    </r>
    <r>
      <rPr>
        <sz val="11"/>
        <color rgb="FFCCCCCC"/>
        <rFont val="Consolas"/>
        <family val="3"/>
      </rPr>
      <t>Analysis of Product column</t>
    </r>
    <r>
      <rPr>
        <sz val="11"/>
        <color rgb="FF808080"/>
        <rFont val="Consolas"/>
        <family val="3"/>
      </rPr>
      <t>&lt;/</t>
    </r>
    <r>
      <rPr>
        <sz val="11"/>
        <color rgb="FF569CD6"/>
        <rFont val="Consolas"/>
        <family val="3"/>
      </rPr>
      <t>span</t>
    </r>
    <r>
      <rPr>
        <sz val="11"/>
        <color rgb="FF808080"/>
        <rFont val="Consolas"/>
        <family val="3"/>
      </rPr>
      <t>&gt;</t>
    </r>
  </si>
  <si>
    <t>&lt;span style="font-size:30px; font-family:Arial;color:orange"&gt;</t>
  </si>
  <si>
    <t>loan_amnt</t>
  </si>
  <si>
    <t>term</t>
  </si>
  <si>
    <t>int_rate</t>
  </si>
  <si>
    <t>installment</t>
  </si>
  <si>
    <t>grade</t>
  </si>
  <si>
    <t>sub_grade</t>
  </si>
  <si>
    <t>verification_status</t>
  </si>
  <si>
    <t>issue_d</t>
  </si>
  <si>
    <t>purpose</t>
  </si>
  <si>
    <t>title</t>
  </si>
  <si>
    <t>loan_status</t>
  </si>
  <si>
    <t>emp_title</t>
  </si>
  <si>
    <t>emp_length</t>
  </si>
  <si>
    <t>home_ownership</t>
  </si>
  <si>
    <t>annual_inc</t>
  </si>
  <si>
    <t>dti</t>
  </si>
  <si>
    <t>age_group</t>
  </si>
  <si>
    <t>total_acc</t>
  </si>
  <si>
    <t>open_acc</t>
  </si>
  <si>
    <t>mort_acc</t>
  </si>
  <si>
    <t>revol_bal</t>
  </si>
  <si>
    <t>revol_util</t>
  </si>
  <si>
    <t>initial_list_status</t>
  </si>
  <si>
    <t>pub_rec</t>
  </si>
  <si>
    <t>pub_rec_bankruptcies</t>
  </si>
  <si>
    <t>application_type</t>
  </si>
  <si>
    <t>profit</t>
  </si>
  <si>
    <t>earliest_cr_line</t>
  </si>
  <si>
    <t>address</t>
  </si>
  <si>
    <t>cust_age_guess</t>
  </si>
  <si>
    <t>ordinal encoding</t>
  </si>
  <si>
    <t>target encoding</t>
  </si>
  <si>
    <t>IGNORE as 99.8% values are same</t>
  </si>
  <si>
    <t>CATEGORICAL COLUMNS</t>
  </si>
  <si>
    <t>NUMERICAL COLUMN ANALYSIS</t>
  </si>
  <si>
    <t>Total rows</t>
  </si>
  <si>
    <t>we should not remove outliers</t>
  </si>
  <si>
    <t>85% have 0 pub_rec, we can convert into binary encoded column</t>
  </si>
  <si>
    <t>88% have 0 pub_rec_bankrupties, we can convert into binary encoded column</t>
  </si>
  <si>
    <t>ignore this column</t>
  </si>
  <si>
    <t>custom encoding required</t>
  </si>
  <si>
    <t>we create age_group column based on this.</t>
  </si>
  <si>
    <t>Details/Remarks</t>
  </si>
  <si>
    <t>IGNORE, title covers similar info.</t>
  </si>
  <si>
    <t>outlier removal, scaling</t>
  </si>
  <si>
    <t>scaling</t>
  </si>
  <si>
    <t>Outlier %</t>
  </si>
  <si>
    <t>Outlier Count</t>
  </si>
  <si>
    <t>What is required in pipeline of this column</t>
  </si>
  <si>
    <t>based on earliest_cr_line</t>
  </si>
  <si>
    <t>outlier removal will remove nothing, so its safe</t>
  </si>
  <si>
    <t>extract state from address, then target encode</t>
  </si>
  <si>
    <t>feature engg, outlier removal, scaling</t>
  </si>
  <si>
    <t>feature engg, scaling</t>
  </si>
  <si>
    <t>ordinal encoding to verification_status</t>
  </si>
  <si>
    <t>ordinal encoding to loan_status</t>
  </si>
  <si>
    <t>impute missing, group, target encode</t>
  </si>
  <si>
    <t>outlier</t>
  </si>
  <si>
    <t>imputer</t>
  </si>
  <si>
    <t>encoding</t>
  </si>
  <si>
    <t>ordinal</t>
  </si>
  <si>
    <t>target</t>
  </si>
  <si>
    <t>feature engg, encode</t>
  </si>
  <si>
    <t>Default</t>
  </si>
  <si>
    <t>Precision</t>
  </si>
  <si>
    <t>Recall</t>
  </si>
  <si>
    <t>F1-score</t>
  </si>
  <si>
    <t>Accuracy</t>
  </si>
  <si>
    <t>L1 Penalty, Liblinear, C-5</t>
  </si>
  <si>
    <t>SMOTE</t>
  </si>
  <si>
    <t>ClassWeight=balanced</t>
  </si>
  <si>
    <t>ADASYN</t>
  </si>
  <si>
    <t>Threshold=0.8</t>
  </si>
  <si>
    <t>SMOTE + Threshold=0.8</t>
  </si>
  <si>
    <t>Worse than default</t>
  </si>
  <si>
    <t>Worse than even default + Threshold=0.8</t>
  </si>
  <si>
    <t>C= 1/200</t>
  </si>
  <si>
    <t>Low F1 score</t>
  </si>
  <si>
    <t>SMOTE + L1 Penalty, Liblinear, C-5</t>
  </si>
  <si>
    <t xml:space="preserve">better </t>
  </si>
  <si>
    <t>default</t>
  </si>
  <si>
    <t>Driver_ID</t>
  </si>
  <si>
    <t>Age</t>
  </si>
  <si>
    <t>Gender</t>
  </si>
  <si>
    <t>City</t>
  </si>
  <si>
    <t>Education_Level</t>
  </si>
  <si>
    <t>Dateofjoining</t>
  </si>
  <si>
    <t>LastWorkingDate</t>
  </si>
  <si>
    <t>Joining Designation</t>
  </si>
  <si>
    <t>Grade</t>
  </si>
  <si>
    <t>Total Business Value</t>
  </si>
  <si>
    <t>Quarterly Rating</t>
  </si>
  <si>
    <t>IncomeCAGR</t>
  </si>
  <si>
    <t>IncomeLast</t>
  </si>
  <si>
    <t>IncomeIncreased</t>
  </si>
  <si>
    <t>GradeIncreased</t>
  </si>
  <si>
    <t>RatingMean</t>
  </si>
  <si>
    <t>RatingTrend</t>
  </si>
  <si>
    <t>RatingTrendCode</t>
  </si>
  <si>
    <t>Ratings</t>
  </si>
  <si>
    <t>Churn</t>
  </si>
  <si>
    <t>EmploymentAge</t>
  </si>
  <si>
    <t>How to use</t>
  </si>
  <si>
    <t>Go To Developer &gt; Macros &gt; Edit the macro</t>
  </si>
  <si>
    <t>Find SourceSheetRange = "A4:A24" and update the end value as per your data</t>
  </si>
  <si>
    <t>Run the code.</t>
  </si>
  <si>
    <t>Paste column names on each cell, starting from cell A4</t>
  </si>
  <si>
    <t>* We have 2381 drivers' data</t>
  </si>
  <si>
    <t>* 59% of drivers are males and 41% are females.  That is an awesome ratio</t>
  </si>
  <si>
    <t>* The education level stats are evenly distributed across  10+ , 12+ and graduates. Each category is roughly 33%</t>
  </si>
  <si>
    <t xml:space="preserve">* Data is only available from 2019 and 2020
* 800+ people left the organization in each of the past 2 years (2019 and 2020)
* On average, 64 drivers leave every month, with maximum at 128 leaving in Jul 2018
</t>
  </si>
  <si>
    <t>43.09% drivers join at Grade 1, 34.23% at Grade 2, 20.71% at Grade 3 and only 1.51% at Grade 4 and 0.46% at Grade 5</t>
  </si>
  <si>
    <t>At present, 31% of drivers are at Grade 1, 36% at Grade 2, 26% at Grade 3, 6% at Grade 4 and 1% at Grade 5</t>
  </si>
  <si>
    <t>* 73% of drivers have a rating 1, 15% have rating 2, 7% have rating 3 and only 4.4% have top rating of 4</t>
  </si>
  <si>
    <t>* 50% have rating 1 or less 
* 26% have mean rating of 1 to 2 
* 18% have between 2 and 3
* 4.5% have between 3 and 4</t>
  </si>
  <si>
    <t>* 76% of drivers have consistently low ratings over the months
* 21% have a rating that has remained around 2-3
* Only 1.47% have improved their rating over the months consistently
* Only 1.3% have degraded their rating over the months</t>
  </si>
  <si>
    <t>* 98% of drivers have not had an increase in income
* 0.3% (9) drivers had an income increase of 0-5%
* 1.3% (33) drivers had an income increase of 5-10%
* Only 1 driver had an income increase of 10+%</t>
  </si>
  <si>
    <t>* Average income per driver is Rs 59334
* Maximum income is 1,88,418; Minimum income is 10,747
* 50% of drivers earn between Rs 39104 to 75986</t>
  </si>
  <si>
    <t>* 83% of drivers have had no increase in their grade for last 2 yrs.</t>
  </si>
  <si>
    <t>* 50% of drivers are between age of 29 and 37. Mean age is 33
* 32% drivers are between age 20-30, usually energetic but less experienced
* 54% drivers are between age 30-40, can be considered to have peak stamina and experience  
* 32% drivers are between age 40-50, generally reliable, possibly long-time drivers
* 32% drivers are between age 50+,  Experience-rich, may prefer shorter shifts 
* Youngest driver is 21 yrs and oldest is 58 yrs of age</t>
  </si>
  <si>
    <r>
      <t xml:space="preserve">* Driver with ID 2522 has a business value of 9,53,31,060 (9 crore 53 lakh)
* 54% of drivers contributed betweeen 1lakh and 1 cr
* 30% of drivers contributed zero
* 0.4% of drivers contributed negative
* Mean cumulative Total Busines Value per driver is Rs 8.1 lakh
* Mean cumulative Total Busines Value per driver after removing drivers with Zero TBV is Rs 66lakh
* There are 343 drivers out 2381 (14%) that have added a total business value of 1crore+
* Interpretation of 14% - It points to a classic business phenomenon - The Power-Law Distribution (or Pareto Principle)
* This is a textbook example of a power-law distribution, often related to the Pareto Principle (the "80/20 rule"). 
* What it means: A small percentage of drivers (the "Superstars" or "Power Drivers") are generating a massively disproportionate amount of the total business value.
* </t>
    </r>
    <r>
      <rPr>
        <b/>
        <sz val="11"/>
        <color theme="1"/>
        <rFont val="Aptos Narrow"/>
        <family val="2"/>
        <scheme val="minor"/>
      </rPr>
      <t>Why it's critical:These 14% of drivers are the most valuable asset the company has. Losing even a small number of these drivers would have a much more significant negative impact on revenue than losing a large number of the low-value or zero-value drivers.</t>
    </r>
    <r>
      <rPr>
        <sz val="11"/>
        <color theme="1"/>
        <rFont val="Aptos Narrow"/>
        <family val="2"/>
        <scheme val="minor"/>
      </rPr>
      <t xml:space="preserve">
* 30% (719 of 2381) of drivers have not contributed anything to the total business value (value is zero)
* 60% of these non contributing drivers are men
* City C20 has 7% of these drivers.
* 52% (381 of 719) joined in 2020 (less than 12 months ago), 28% joined in 2019(less than 24 months ago), 18% joined in 2018
* 76% (552 of 719) of these drivers have LEFT the organization.  That explains to a large extent the zero value.
* Out of the remaining 167 drivers that are still with the company, 161 drivers have recently joined (2020) but have zero total business value.  We find that these drivers have non zero income, infact their avg income is Rs 58908.  So surely they are serving the customers.  There were a 657 more drivers that too joined in 2020 but have non zero total business value. </t>
    </r>
    <r>
      <rPr>
        <b/>
        <sz val="11"/>
        <color theme="1"/>
        <rFont val="Aptos Narrow"/>
        <family val="2"/>
        <scheme val="minor"/>
      </rPr>
      <t xml:space="preserve"> Company can investigate if this is a simple case of missing data or what is the reason for zero business value of these 161 recenly joined drivers.</t>
    </r>
  </si>
  <si>
    <t>yellow means categoricaL column</t>
  </si>
  <si>
    <t>City and Age are independent. Medians of groups of Age based on City are same</t>
  </si>
  <si>
    <t>Education_Level and Age are independent. Medians of groups of Age based on Education_Level are same</t>
  </si>
  <si>
    <t>* Joining Designation rates vary slightly across Age groups (enough to be statistically significant kruskal p_value=9.625428906028363e-10), Age influence on Joining Designation is considered small (η²=0.02)
* Avg age of drivers joining in designation 1,2 is 33 while those at grade 4,5 is 37 to 40</t>
  </si>
  <si>
    <t>* Grade rates vary across Age groups (enough to be statistically significant kruskal p_value=6.773769898624466e-38), Age does have a medium influence on Grade (η²=0.07)
* Avg age of drivers in grade 1,2,3 is around 33-34 while those at grade 4,5 is 38 to 39</t>
  </si>
  <si>
    <t>* RatingTrend values vary across Age groups (enough to be statistically significant kruskal p_value=2.7340133727364485e-17), Age influence on RatingTrend is considered small (η²=0.03)
* Youngest drivers (age 31) have consistently high ratings(4,5) 
* Oldest drivers (age 36) have consistently stable midrange ratings(2,3,4)
* Drivers around age 33 have consistently low range ratings(1)</t>
  </si>
  <si>
    <t>There’s no substantial Age difference across Gender values and churn is not dependent on them either</t>
  </si>
  <si>
    <t>* There’s substantial Age difference across Churn values
* Even though Churn rates vary across Age groups (enough to be statistically significant kruskal p_value=4.408652546642178e-05), Age itself doesn’t meaningfully influence Churn — the effect is too small (η²=0.01) to matter in practical terms.</t>
  </si>
  <si>
    <t>* There is a weak positive correlation between Age and Total business value
* Contribution to total business value for age group 39+ is triple that of age group 20-29
* Contribution to total business value for age group 35-39 is double that of age group 20-29
* Drivers who churned generally had less TBV</t>
  </si>
  <si>
    <t>* There is a weak positive correlation between Age and Income
* Income for age group 39+ is 40% more than that of age group 20-29
* There is a steeper increase in income in lower age groups. Income increase beyond 32 is less in percentage terms</t>
  </si>
  <si>
    <t>Olders drivers have slightly more mean rating than younger ones, but the correlation of age and rating is very weak</t>
  </si>
  <si>
    <t>Age and Employment age are obviously correlated. An older employee will naturally tend to have a longer employment history.  But it does show that employees have stayed with the company for past 7 yrs.</t>
  </si>
  <si>
    <t>There is no correlation between gender and city
There are 3 cities 'C23', 'C6', 'C8' out of 29 where females are more than males
There are three cities C15, C26 and C28 where percentage males is around 50% more than female drivers.
In general there are 28% more males in workforce than females</t>
  </si>
  <si>
    <t>Education levels are similar across genders</t>
  </si>
  <si>
    <t>* Every year, the company hires 37.8% more males than female drivers
* In 2019, the company hired larger ratio of female drivers</t>
  </si>
  <si>
    <t>The ratio of churn across genders is same as the overall ratio of genders. We can say churn is unaffected by gender.</t>
  </si>
  <si>
    <t>There are lesser females hired at higher joining designations</t>
  </si>
  <si>
    <t>Gender does not affect grade</t>
  </si>
  <si>
    <t>Gender does not affect Total Business Value</t>
  </si>
  <si>
    <t>Quarterly Rating are similar across genders</t>
  </si>
  <si>
    <t>Gender does not affect Income</t>
  </si>
  <si>
    <t>Ratings are similar across genders</t>
  </si>
  <si>
    <t>* There are more women than men that have consistently high ratings
* For drivers whose rating is degrading, the ratio of men is more than the general ratio of men to women.  It means a larger percentage of men have degrading performance rating.</t>
  </si>
  <si>
    <t>Churn is similar across genders</t>
  </si>
  <si>
    <t>There’s no substantial EmploymentAge difference across Gender values</t>
  </si>
  <si>
    <t>Gender and GradeIncreased are independent</t>
  </si>
  <si>
    <t>* We have 29 cities
* On average, each city has 82.0 drivers
* City with maximum drivers: C20 (152 drivers, 6.38% of total)</t>
  </si>
  <si>
    <t>While 1464 drivers joined, 1616 drivers left the company.  This comparison reveals a stark reality of the hiring numbers and state of affairs in the company.
While we were under impresssion earlier that hiring has increased, these numbers show that churn has increased even further.</t>
  </si>
  <si>
    <t>* We have joining data from 2013 to 2020 
* Hiring peaked in 2018 but has been declining since. 
* On yearly basis, it is still more than pre-2018 levels though.
* On average 2388 drivers join the company every year
* On average 203 drivers join the company every month
* July, June and May are the most prolific hiring months.  
* March is lowest in terms of number of hirings
* July 2020, the time just after pandemic, when most people were at home, ordering stuff and getting it delivered at doorstep saw the highest hiring for gig workers.</t>
  </si>
  <si>
    <t>98% of drivers have not seen a salary increase in over 2 yrs.</t>
  </si>
  <si>
    <t>* 67% of drivers have joined in last year
* 82% of drivers joined less than 2 yrs back
* 95% of drivers joined less than 5 yrs back and only 5% of drivers are those that have stayed with the company for more than 5 yrs.  This points to a huge attrition rate. Surely attrition is a problem in the company.</t>
  </si>
  <si>
    <t>* In 4 of the top 5 employing cities (c20,C22,C26,C27), the employee count DECREASED over the last two years
* Only in one of the top 5 cities, C29 has the count increased.
* Cities C22, C7, C27 and C12 have lower attrition rates and stable number of drivers.
* Cities  C20, C29, C25, C17, C1 have very high volatility in driver count.  
* C20 and C29 are amonng the top 5 employer cities
* For C20 the driver count has decreased the maximum
* For C29 the driver count has incresed the maximum</t>
  </si>
  <si>
    <t>Churn is similar across education levels</t>
  </si>
  <si>
    <t>Education Level is similar across cities</t>
  </si>
  <si>
    <r>
      <t xml:space="preserve">* 800+ people left the organization in each of the past 2 years (2019 and 2020). Considering that total strength of company is less than 800 drivers,that is big number.
* Monthly attrition rate is 8.45%. </t>
    </r>
    <r>
      <rPr>
        <sz val="11"/>
        <color rgb="FFFF0000"/>
        <rFont val="Aptos Narrow"/>
        <family val="2"/>
        <scheme val="minor"/>
      </rPr>
      <t xml:space="preserve"> </t>
    </r>
    <r>
      <rPr>
        <b/>
        <sz val="11"/>
        <color rgb="FFFF0000"/>
        <rFont val="Aptos Narrow"/>
        <family val="2"/>
        <scheme val="minor"/>
      </rPr>
      <t>Yearly attrition rate is 65.4%</t>
    </r>
  </si>
  <si>
    <t>* Churn is affected by joining designation
* Drivers joining at Grade 1 and Grade 5 have highest chance of churning, around 73%
* Drivers joining at Grade 3 have lowest chance of churning, around 55%</t>
  </si>
  <si>
    <r>
      <t xml:space="preserve">* Churn and current grade are related
* Drivers at Grade 1 have a extremely high chance of churn, 80%.  </t>
    </r>
    <r>
      <rPr>
        <b/>
        <sz val="11"/>
        <color theme="1"/>
        <rFont val="Aptos Narrow"/>
        <family val="2"/>
        <scheme val="minor"/>
      </rPr>
      <t>Company can focus on this grade</t>
    </r>
    <r>
      <rPr>
        <sz val="11"/>
        <color theme="1"/>
        <rFont val="Aptos Narrow"/>
        <family val="2"/>
        <scheme val="minor"/>
      </rPr>
      <t xml:space="preserve">
* Drivers Grade 4 have lowest chance of churning, around 50%, Grade 3.4,5 have overall lower churning chance, around 50-54%</t>
    </r>
  </si>
  <si>
    <t>* Drivers who churned have a substantially lower range of total business value 
* The average total business value of drivers who churned is one-third (33lakh) of those who did not churn (123 lakh)</t>
  </si>
  <si>
    <t>* Quarterly rating and Churn are dependent
* 88% of those who churned had the lowest quarterly rating of 1.  It is possible company terminated their services due to the poor rating
* Those who have rating greater than 1 have a greater chance of staying</t>
  </si>
  <si>
    <r>
      <t xml:space="preserve">* Rating Trend can help understand churn
* Drivers who have consistently low ratings have 86% of chance of churn
* Drivers who have consistently high ratings have only 29% of chance of churn
* Drivers whose rating has been seen as improving over the months stay with the company 86% of times
</t>
    </r>
    <r>
      <rPr>
        <b/>
        <sz val="11"/>
        <color rgb="FFFF0000"/>
        <rFont val="Aptos Narrow"/>
        <family val="2"/>
        <scheme val="minor"/>
      </rPr>
      <t xml:space="preserve">* ALL drivers whose rating declined were found to have churned. </t>
    </r>
  </si>
  <si>
    <r>
      <t xml:space="preserve">* Almost all the drivers who churned did not have a increase in income over the months.
</t>
    </r>
    <r>
      <rPr>
        <b/>
        <sz val="11"/>
        <color rgb="FFFF0000"/>
        <rFont val="Aptos Narrow"/>
        <family val="2"/>
        <scheme val="minor"/>
      </rPr>
      <t>* This does not mean that all those who did not see increase in income got churned.  That figure is 69%</t>
    </r>
    <r>
      <rPr>
        <sz val="11"/>
        <color theme="1"/>
        <rFont val="Aptos Narrow"/>
        <family val="2"/>
        <scheme val="minor"/>
      </rPr>
      <t xml:space="preserve">
</t>
    </r>
    <r>
      <rPr>
        <b/>
        <sz val="11"/>
        <color rgb="FF00B050"/>
        <rFont val="Aptos Narrow"/>
        <family val="2"/>
        <scheme val="minor"/>
      </rPr>
      <t>* 93% of drivers who saw an increase in income stayed.</t>
    </r>
  </si>
  <si>
    <t>* Among those whose grade did not increase since joining, 71% left the company
* Among those whose grade increased since joining, only 54% left the company
* 86% of drivers who left the company were those that didnt see increase in their grade since joining</t>
  </si>
  <si>
    <t>Tendency of income increased is similar across cities</t>
  </si>
  <si>
    <t>Income levels are similar across cities</t>
  </si>
  <si>
    <t>Total business value is similar across cities.</t>
  </si>
  <si>
    <t>* City and Grade are independent.</t>
  </si>
  <si>
    <t>EmploymentAge is similar across cities</t>
  </si>
  <si>
    <t>* Average income varies across education levels- As education level increases, mean income increases
* Avg income of Graduates is 63563 which is Rs 10000 more than drivers who are only 10+ education level</t>
  </si>
  <si>
    <t>Income increased is independent of education level</t>
  </si>
  <si>
    <t>Increases in Grade is independent of education level.  We have grade increase similar across education levels</t>
  </si>
  <si>
    <t>* Drivers who have consistently low ratings (1809) are found in all categories equally (33% approx each)
* More than half (57%) of the 7 drivers who have consistently high rating are only having 10+ education</t>
  </si>
  <si>
    <t>* 68% of drivers have churned over the past years.
* We have imbalanced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</si>
</sst>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Aptos Narrow"/>
      <family val="2"/>
      <scheme val="minor"/>
    </font>
    <font>
      <sz val="11"/>
      <color theme="1"/>
      <name val="Consolas"/>
      <family val="3"/>
    </font>
    <font>
      <sz val="18"/>
      <color theme="1"/>
      <name val="Consolas"/>
      <family val="3"/>
    </font>
    <font>
      <sz val="11"/>
      <color rgb="FFCCCCCC"/>
      <name val="Consolas"/>
      <family val="3"/>
    </font>
    <font>
      <sz val="11"/>
      <color rgb="FF808080"/>
      <name val="Consolas"/>
      <family val="3"/>
    </font>
    <font>
      <sz val="11"/>
      <color rgb="FF569CD6"/>
      <name val="Consolas"/>
      <family val="3"/>
    </font>
    <font>
      <sz val="11"/>
      <color rgb="FF9CDCFE"/>
      <name val="Consolas"/>
      <family val="3"/>
    </font>
    <font>
      <sz val="11"/>
      <color rgb="FFCE9178"/>
      <name val="Consolas"/>
      <family val="3"/>
    </font>
    <font>
      <b/>
      <sz val="11"/>
      <color theme="1"/>
      <name val="Aptos Narrow"/>
      <family val="2"/>
      <scheme val="minor"/>
    </font>
    <font>
      <sz val="11"/>
      <color rgb="FFFF0000"/>
      <name val="Aptos Narrow"/>
      <family val="2"/>
      <scheme val="minor"/>
    </font>
    <font>
      <b/>
      <sz val="11"/>
      <color rgb="FFFF0000"/>
      <name val="Aptos Narrow"/>
      <family val="2"/>
      <scheme val="minor"/>
    </font>
    <font>
      <b/>
      <sz val="11"/>
      <color rgb="FF00B050"/>
      <name val="Aptos Narrow"/>
      <family val="2"/>
      <scheme val="minor"/>
    </font>
  </fonts>
  <fills count="8">
    <fill>
      <patternFill patternType="none"/>
    </fill>
    <fill>
      <patternFill patternType="gray125"/>
    </fill>
    <fill>
      <patternFill patternType="solid">
        <fgColor rgb="FFFFFF00"/>
        <bgColor indexed="64"/>
      </patternFill>
    </fill>
    <fill>
      <patternFill patternType="solid">
        <fgColor rgb="FF61CBF3"/>
        <bgColor indexed="64"/>
      </patternFill>
    </fill>
    <fill>
      <patternFill patternType="solid">
        <fgColor rgb="FF0A2060"/>
        <bgColor indexed="64"/>
      </patternFill>
    </fill>
    <fill>
      <patternFill patternType="solid">
        <fgColor theme="7" tint="0.39997558519241921"/>
        <bgColor indexed="64"/>
      </patternFill>
    </fill>
    <fill>
      <patternFill patternType="solid">
        <fgColor rgb="FF00B050"/>
        <bgColor indexed="64"/>
      </patternFill>
    </fill>
    <fill>
      <patternFill patternType="solid">
        <fgColor rgb="FFFFC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s>
  <cellStyleXfs count="1">
    <xf numFmtId="0" fontId="0" fillId="0" borderId="0"/>
  </cellStyleXfs>
  <cellXfs count="29">
    <xf numFmtId="0" fontId="0" fillId="0" borderId="0" xfId="0"/>
    <xf numFmtId="0" fontId="1" fillId="0" borderId="0" xfId="0" applyFont="1" applyAlignment="1">
      <alignment vertical="center"/>
    </xf>
    <xf numFmtId="0" fontId="0" fillId="0" borderId="0" xfId="0" applyFont="1"/>
    <xf numFmtId="0" fontId="1" fillId="2" borderId="0" xfId="0" applyFont="1" applyFill="1" applyAlignment="1">
      <alignment vertical="center"/>
    </xf>
    <xf numFmtId="0" fontId="4" fillId="0" borderId="0" xfId="0" applyFont="1" applyAlignment="1">
      <alignment vertical="center"/>
    </xf>
    <xf numFmtId="0" fontId="0" fillId="0" borderId="1" xfId="0" applyBorder="1"/>
    <xf numFmtId="0" fontId="0" fillId="4" borderId="0" xfId="0" applyFill="1"/>
    <xf numFmtId="0" fontId="2" fillId="3" borderId="0" xfId="0" applyFont="1" applyFill="1"/>
    <xf numFmtId="0" fontId="8" fillId="0" borderId="1" xfId="0" applyFont="1" applyBorder="1"/>
    <xf numFmtId="0" fontId="0" fillId="6" borderId="1" xfId="0" applyFill="1" applyBorder="1"/>
    <xf numFmtId="3" fontId="1" fillId="0" borderId="0" xfId="0" applyNumberFormat="1" applyFont="1"/>
    <xf numFmtId="0" fontId="0" fillId="0" borderId="0" xfId="0" applyBorder="1"/>
    <xf numFmtId="0" fontId="0" fillId="0" borderId="1" xfId="0" applyFont="1" applyBorder="1"/>
    <xf numFmtId="0" fontId="8" fillId="0" borderId="2" xfId="0" applyFont="1" applyBorder="1"/>
    <xf numFmtId="0" fontId="0" fillId="7" borderId="1" xfId="0" applyFill="1" applyBorder="1"/>
    <xf numFmtId="0" fontId="0" fillId="5" borderId="1" xfId="0" applyFill="1" applyBorder="1"/>
    <xf numFmtId="0" fontId="8" fillId="0" borderId="0" xfId="0" applyFont="1" applyBorder="1"/>
    <xf numFmtId="0" fontId="8" fillId="0" borderId="4" xfId="0" applyFont="1" applyBorder="1"/>
    <xf numFmtId="0" fontId="8" fillId="0" borderId="3" xfId="0" applyFont="1" applyBorder="1"/>
    <xf numFmtId="0" fontId="0" fillId="2" borderId="1" xfId="0" applyFill="1" applyBorder="1"/>
    <xf numFmtId="0" fontId="8" fillId="0" borderId="1" xfId="0" applyFont="1" applyBorder="1" applyAlignment="1">
      <alignment horizontal="right"/>
    </xf>
    <xf numFmtId="0" fontId="8" fillId="0" borderId="0" xfId="0" applyFont="1"/>
    <xf numFmtId="0" fontId="2" fillId="0" borderId="0" xfId="0" applyFont="1"/>
    <xf numFmtId="0" fontId="0" fillId="0" borderId="0" xfId="0" applyAlignment="1">
      <alignment wrapText="1"/>
    </xf>
    <xf numFmtId="0" fontId="2" fillId="2" borderId="0" xfId="0" applyFont="1" applyFill="1"/>
    <xf numFmtId="0" fontId="0" fillId="2" borderId="0" xfId="0" applyFill="1"/>
    <xf numFmtId="0" fontId="2" fillId="2" borderId="0" xfId="0" applyFont="1" applyFill="1" applyAlignment="1">
      <alignment wrapText="1"/>
    </xf>
    <xf numFmtId="0" fontId="0" fillId="0" borderId="1" xfId="0" applyBorder="1" applyAlignment="1">
      <alignment wrapText="1"/>
    </xf>
    <xf numFmtId="0" fontId="0" fillId="0" borderId="0" xfId="0" quotePrefix="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12587-6A5C-443A-B558-89F9360FC1B0}">
  <sheetPr codeName="Sheet1"/>
  <dimension ref="A1:N22"/>
  <sheetViews>
    <sheetView tabSelected="1" workbookViewId="0">
      <selection activeCell="N11" sqref="N11"/>
    </sheetView>
  </sheetViews>
  <sheetFormatPr defaultRowHeight="15" x14ac:dyDescent="0.25"/>
  <cols>
    <col min="1" max="1" width="33.7109375" style="2" customWidth="1"/>
    <col min="2" max="16384" width="9.140625" style="2"/>
  </cols>
  <sheetData>
    <row r="1" spans="1:14" x14ac:dyDescent="0.25">
      <c r="A1" s="1" t="s">
        <v>1</v>
      </c>
      <c r="N1" s="21" t="s">
        <v>104</v>
      </c>
    </row>
    <row r="2" spans="1:14" x14ac:dyDescent="0.25">
      <c r="A2" s="4" t="s">
        <v>0</v>
      </c>
      <c r="N2" s="2" t="s">
        <v>108</v>
      </c>
    </row>
    <row r="3" spans="1:14" x14ac:dyDescent="0.25">
      <c r="A3" s="3"/>
      <c r="N3" s="2" t="s">
        <v>105</v>
      </c>
    </row>
    <row r="4" spans="1:14" x14ac:dyDescent="0.25">
      <c r="A4" s="3" t="s">
        <v>83</v>
      </c>
      <c r="N4" s="2" t="s">
        <v>106</v>
      </c>
    </row>
    <row r="5" spans="1:14" x14ac:dyDescent="0.25">
      <c r="A5" s="3" t="s">
        <v>84</v>
      </c>
      <c r="N5" s="2" t="s">
        <v>107</v>
      </c>
    </row>
    <row r="6" spans="1:14" x14ac:dyDescent="0.25">
      <c r="A6" s="3" t="s">
        <v>85</v>
      </c>
    </row>
    <row r="7" spans="1:14" x14ac:dyDescent="0.25">
      <c r="A7" s="3" t="s">
        <v>86</v>
      </c>
    </row>
    <row r="8" spans="1:14" x14ac:dyDescent="0.25">
      <c r="A8" s="3" t="s">
        <v>87</v>
      </c>
    </row>
    <row r="9" spans="1:14" x14ac:dyDescent="0.25">
      <c r="A9" s="3" t="s">
        <v>88</v>
      </c>
    </row>
    <row r="10" spans="1:14" x14ac:dyDescent="0.25">
      <c r="A10" s="3" t="s">
        <v>89</v>
      </c>
    </row>
    <row r="11" spans="1:14" x14ac:dyDescent="0.25">
      <c r="A11" s="3" t="s">
        <v>90</v>
      </c>
    </row>
    <row r="12" spans="1:14" x14ac:dyDescent="0.25">
      <c r="A12" s="3" t="s">
        <v>91</v>
      </c>
    </row>
    <row r="13" spans="1:14" x14ac:dyDescent="0.25">
      <c r="A13" s="3" t="s">
        <v>92</v>
      </c>
    </row>
    <row r="14" spans="1:14" x14ac:dyDescent="0.25">
      <c r="A14" s="3" t="s">
        <v>93</v>
      </c>
    </row>
    <row r="15" spans="1:14" x14ac:dyDescent="0.25">
      <c r="A15" s="3" t="s">
        <v>94</v>
      </c>
    </row>
    <row r="16" spans="1:14" x14ac:dyDescent="0.25">
      <c r="A16" s="3" t="s">
        <v>95</v>
      </c>
    </row>
    <row r="17" spans="1:1" x14ac:dyDescent="0.25">
      <c r="A17" s="3" t="s">
        <v>96</v>
      </c>
    </row>
    <row r="18" spans="1:1" x14ac:dyDescent="0.25">
      <c r="A18" s="3" t="s">
        <v>97</v>
      </c>
    </row>
    <row r="19" spans="1:1" x14ac:dyDescent="0.25">
      <c r="A19" s="2" t="s">
        <v>98</v>
      </c>
    </row>
    <row r="20" spans="1:1" x14ac:dyDescent="0.25">
      <c r="A20" s="2" t="s">
        <v>99</v>
      </c>
    </row>
    <row r="21" spans="1:1" x14ac:dyDescent="0.25">
      <c r="A21" s="2" t="s">
        <v>102</v>
      </c>
    </row>
    <row r="22" spans="1:1" x14ac:dyDescent="0.25">
      <c r="A22" s="2" t="s">
        <v>103</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089EC-0BED-4D5E-A539-40033E2CF2A6}">
  <sheetPr codeName="Sheet5"/>
  <dimension ref="A1:T20"/>
  <sheetViews>
    <sheetView zoomScale="70" zoomScaleNormal="70" workbookViewId="0">
      <pane xSplit="1" ySplit="1" topLeftCell="B18" activePane="bottomRight" state="frozen"/>
      <selection pane="topRight" activeCell="B1" sqref="B1"/>
      <selection pane="bottomLeft" activeCell="A2" sqref="A2"/>
      <selection pane="bottomRight" activeCell="A19" sqref="A19:XFD19"/>
    </sheetView>
  </sheetViews>
  <sheetFormatPr defaultRowHeight="15" x14ac:dyDescent="0.25"/>
  <cols>
    <col min="1" max="1" width="39.7109375" style="5" bestFit="1" customWidth="1"/>
    <col min="2" max="2" width="20" style="5" customWidth="1"/>
    <col min="3" max="3" width="48.7109375" style="5" customWidth="1"/>
    <col min="4" max="4" width="37.7109375" style="5" customWidth="1"/>
    <col min="5" max="5" width="53.5703125" style="5" customWidth="1"/>
    <col min="6" max="6" width="28.85546875" style="5" customWidth="1"/>
    <col min="7" max="7" width="51.140625" style="5" customWidth="1"/>
    <col min="8" max="8" width="36.85546875" style="5" customWidth="1"/>
    <col min="9" max="9" width="37.7109375" style="5" bestFit="1" customWidth="1"/>
    <col min="10" max="10" width="28.85546875" style="5" customWidth="1"/>
    <col min="11" max="11" width="88.28515625" style="5" customWidth="1"/>
    <col min="12" max="12" width="28.85546875" style="5" customWidth="1"/>
    <col min="13" max="13" width="47.28515625" style="5" customWidth="1"/>
    <col min="14" max="18" width="28.85546875" style="5" customWidth="1"/>
    <col min="19" max="19" width="26.28515625" style="5" customWidth="1"/>
    <col min="20" max="20" width="37.140625" style="5" customWidth="1"/>
    <col min="21" max="16384" width="9.140625" style="5"/>
  </cols>
  <sheetData>
    <row r="1" spans="1:20" customFormat="1" ht="23.25" x14ac:dyDescent="0.35">
      <c r="B1" s="26" t="s">
        <v>83</v>
      </c>
      <c r="C1" s="22" t="s">
        <v>84</v>
      </c>
      <c r="D1" s="22" t="s">
        <v>85</v>
      </c>
      <c r="E1" s="22" t="s">
        <v>86</v>
      </c>
      <c r="F1" s="22" t="s">
        <v>87</v>
      </c>
      <c r="G1" s="22" t="s">
        <v>88</v>
      </c>
      <c r="H1" s="22" t="s">
        <v>89</v>
      </c>
      <c r="I1" s="22" t="s">
        <v>90</v>
      </c>
      <c r="J1" s="22" t="s">
        <v>91</v>
      </c>
      <c r="K1" s="22" t="s">
        <v>92</v>
      </c>
      <c r="L1" s="22" t="s">
        <v>93</v>
      </c>
      <c r="M1" s="22" t="s">
        <v>94</v>
      </c>
      <c r="N1" s="22" t="s">
        <v>95</v>
      </c>
      <c r="O1" s="22" t="s">
        <v>96</v>
      </c>
      <c r="P1" s="22" t="s">
        <v>97</v>
      </c>
      <c r="Q1" s="22" t="s">
        <v>98</v>
      </c>
      <c r="R1" s="22" t="s">
        <v>99</v>
      </c>
      <c r="S1" s="22" t="s">
        <v>102</v>
      </c>
      <c r="T1" s="22" t="s">
        <v>103</v>
      </c>
    </row>
    <row r="2" spans="1:20" customFormat="1" ht="61.5" x14ac:dyDescent="0.35">
      <c r="A2" s="7" t="s">
        <v>83</v>
      </c>
      <c r="B2" s="23" t="s">
        <v>109</v>
      </c>
      <c r="C2" s="7" t="s">
        <v>84</v>
      </c>
      <c r="D2" s="6"/>
      <c r="E2" s="6"/>
      <c r="F2" s="25" t="s">
        <v>123</v>
      </c>
      <c r="G2" s="6"/>
      <c r="H2" s="6"/>
      <c r="I2" s="6"/>
      <c r="J2" s="6"/>
      <c r="K2" s="6"/>
      <c r="L2" s="6"/>
      <c r="M2" s="6"/>
      <c r="N2" s="6"/>
      <c r="O2" s="6"/>
      <c r="P2" s="6"/>
      <c r="Q2" s="6"/>
      <c r="R2" s="6"/>
      <c r="S2" s="6"/>
      <c r="T2" s="6"/>
    </row>
    <row r="3" spans="1:20" customFormat="1" ht="166.5" x14ac:dyDescent="0.35">
      <c r="A3" s="7" t="s">
        <v>84</v>
      </c>
      <c r="C3" s="23" t="s">
        <v>121</v>
      </c>
      <c r="D3" s="24" t="s">
        <v>85</v>
      </c>
      <c r="E3" s="6"/>
      <c r="F3" s="6"/>
      <c r="G3" s="6"/>
      <c r="H3" s="6"/>
      <c r="I3" s="6"/>
      <c r="J3" s="6"/>
      <c r="K3" s="6"/>
      <c r="L3" s="6"/>
      <c r="M3" s="6"/>
      <c r="N3" s="6"/>
      <c r="O3" s="6"/>
      <c r="P3" s="6"/>
      <c r="Q3" s="6"/>
      <c r="R3" s="6"/>
      <c r="S3" s="6"/>
      <c r="T3" s="6"/>
    </row>
    <row r="4" spans="1:20" customFormat="1" ht="31.5" x14ac:dyDescent="0.35">
      <c r="A4" s="24" t="s">
        <v>85</v>
      </c>
      <c r="C4" s="23" t="s">
        <v>129</v>
      </c>
      <c r="D4" s="23" t="s">
        <v>110</v>
      </c>
      <c r="E4" s="24" t="s">
        <v>86</v>
      </c>
      <c r="F4" s="6"/>
      <c r="G4" s="6"/>
      <c r="H4" s="6"/>
      <c r="I4" s="6"/>
      <c r="J4" s="6"/>
      <c r="K4" s="6"/>
      <c r="L4" s="6"/>
      <c r="M4" s="6"/>
      <c r="N4" s="6"/>
      <c r="O4" s="6"/>
      <c r="P4" s="6"/>
      <c r="Q4" s="6"/>
      <c r="R4" s="6"/>
      <c r="S4" s="6"/>
      <c r="T4" s="6"/>
    </row>
    <row r="5" spans="1:20" customFormat="1" ht="136.5" x14ac:dyDescent="0.35">
      <c r="A5" s="24" t="s">
        <v>86</v>
      </c>
      <c r="C5" s="28" t="s">
        <v>124</v>
      </c>
      <c r="D5" s="23" t="s">
        <v>135</v>
      </c>
      <c r="E5" s="23" t="s">
        <v>149</v>
      </c>
      <c r="F5" s="24" t="s">
        <v>87</v>
      </c>
      <c r="G5" s="6"/>
      <c r="H5" s="6"/>
      <c r="I5" s="6"/>
      <c r="J5" s="6"/>
      <c r="K5" s="6"/>
      <c r="L5" s="6"/>
      <c r="M5" s="6"/>
      <c r="N5" s="6"/>
      <c r="O5" s="6"/>
      <c r="P5" s="6"/>
      <c r="Q5" s="6"/>
      <c r="R5" s="6"/>
      <c r="S5" s="6"/>
      <c r="T5" s="6"/>
    </row>
    <row r="6" spans="1:20" customFormat="1" ht="61.5" x14ac:dyDescent="0.35">
      <c r="A6" s="24" t="s">
        <v>87</v>
      </c>
      <c r="C6" s="23" t="s">
        <v>125</v>
      </c>
      <c r="D6" s="23" t="s">
        <v>136</v>
      </c>
      <c r="E6" t="s">
        <v>156</v>
      </c>
      <c r="F6" s="23" t="s">
        <v>111</v>
      </c>
      <c r="G6" s="7" t="s">
        <v>88</v>
      </c>
      <c r="H6" s="6"/>
      <c r="I6" s="6"/>
      <c r="J6" s="6"/>
      <c r="K6" s="6"/>
      <c r="L6" s="6"/>
      <c r="M6" s="6"/>
      <c r="N6" s="6"/>
      <c r="O6" s="6"/>
      <c r="P6" s="6"/>
      <c r="Q6" s="6"/>
      <c r="R6" s="6"/>
      <c r="S6" s="6"/>
      <c r="T6" s="6"/>
    </row>
    <row r="7" spans="1:20" customFormat="1" ht="196.5" x14ac:dyDescent="0.35">
      <c r="A7" s="7" t="s">
        <v>88</v>
      </c>
      <c r="D7" s="23" t="s">
        <v>137</v>
      </c>
      <c r="G7" s="23" t="s">
        <v>151</v>
      </c>
      <c r="H7" s="7" t="s">
        <v>89</v>
      </c>
      <c r="I7" s="6"/>
      <c r="J7" s="6"/>
      <c r="K7" s="6"/>
      <c r="L7" s="6"/>
      <c r="M7" s="6"/>
      <c r="N7" s="6"/>
      <c r="O7" s="6"/>
      <c r="P7" s="6"/>
      <c r="Q7" s="6"/>
      <c r="R7" s="6"/>
      <c r="S7" s="6"/>
      <c r="T7" s="6"/>
    </row>
    <row r="8" spans="1:20" customFormat="1" ht="121.5" x14ac:dyDescent="0.35">
      <c r="A8" s="7" t="s">
        <v>89</v>
      </c>
      <c r="D8" s="23" t="s">
        <v>138</v>
      </c>
      <c r="G8" s="23" t="s">
        <v>150</v>
      </c>
      <c r="H8" s="23" t="s">
        <v>112</v>
      </c>
      <c r="I8" s="24" t="s">
        <v>90</v>
      </c>
      <c r="J8" s="6"/>
      <c r="K8" s="6"/>
      <c r="L8" s="6"/>
      <c r="M8" s="6"/>
      <c r="N8" s="6"/>
      <c r="O8" s="6"/>
      <c r="P8" s="6"/>
      <c r="Q8" s="6"/>
      <c r="R8" s="6"/>
      <c r="S8" s="6"/>
      <c r="T8" s="6"/>
    </row>
    <row r="9" spans="1:20" customFormat="1" ht="129.75" customHeight="1" x14ac:dyDescent="0.35">
      <c r="A9" s="24" t="s">
        <v>90</v>
      </c>
      <c r="C9" s="23" t="s">
        <v>126</v>
      </c>
      <c r="D9" s="23" t="s">
        <v>139</v>
      </c>
      <c r="F9" s="5"/>
      <c r="I9" s="23" t="s">
        <v>113</v>
      </c>
      <c r="J9" s="24" t="s">
        <v>91</v>
      </c>
      <c r="K9" s="6"/>
      <c r="L9" s="6"/>
      <c r="M9" s="6"/>
      <c r="N9" s="6"/>
      <c r="O9" s="6"/>
      <c r="P9" s="6"/>
      <c r="Q9" s="6"/>
      <c r="R9" s="6"/>
      <c r="S9" s="6"/>
      <c r="T9" s="6"/>
    </row>
    <row r="10" spans="1:20" customFormat="1" ht="91.5" x14ac:dyDescent="0.35">
      <c r="A10" s="24" t="s">
        <v>91</v>
      </c>
      <c r="C10" s="23" t="s">
        <v>127</v>
      </c>
      <c r="D10" t="s">
        <v>140</v>
      </c>
      <c r="E10" t="s">
        <v>168</v>
      </c>
      <c r="F10" s="5"/>
      <c r="J10" s="23" t="s">
        <v>114</v>
      </c>
      <c r="K10" s="7" t="s">
        <v>92</v>
      </c>
      <c r="L10" s="6"/>
      <c r="M10" s="6"/>
      <c r="N10" s="6"/>
      <c r="O10" s="6"/>
      <c r="P10" s="6"/>
      <c r="Q10" s="6"/>
      <c r="R10" s="6"/>
      <c r="S10" s="6"/>
      <c r="T10" s="6"/>
    </row>
    <row r="11" spans="1:20" customFormat="1" ht="409.6" x14ac:dyDescent="0.35">
      <c r="A11" s="7" t="s">
        <v>92</v>
      </c>
      <c r="C11" s="23" t="s">
        <v>131</v>
      </c>
      <c r="D11" s="23" t="s">
        <v>141</v>
      </c>
      <c r="E11" t="s">
        <v>167</v>
      </c>
      <c r="K11" s="23" t="s">
        <v>122</v>
      </c>
      <c r="L11" s="24" t="s">
        <v>93</v>
      </c>
      <c r="M11" s="6"/>
      <c r="N11" s="6"/>
      <c r="O11" s="6"/>
      <c r="P11" s="6"/>
      <c r="Q11" s="6"/>
      <c r="R11" s="6"/>
      <c r="S11" s="6"/>
      <c r="T11" s="6"/>
    </row>
    <row r="12" spans="1:20" customFormat="1" ht="31.5" x14ac:dyDescent="0.35">
      <c r="A12" s="24" t="s">
        <v>93</v>
      </c>
      <c r="D12" s="23" t="s">
        <v>142</v>
      </c>
      <c r="L12" t="s">
        <v>115</v>
      </c>
      <c r="M12" s="7" t="s">
        <v>94</v>
      </c>
      <c r="N12" s="6"/>
      <c r="O12" s="6"/>
      <c r="P12" s="6"/>
      <c r="Q12" s="6"/>
      <c r="R12" s="6"/>
      <c r="S12" s="6"/>
      <c r="T12" s="6"/>
    </row>
    <row r="13" spans="1:20" customFormat="1" ht="91.5" x14ac:dyDescent="0.35">
      <c r="A13" s="7" t="s">
        <v>94</v>
      </c>
      <c r="M13" s="23" t="s">
        <v>118</v>
      </c>
      <c r="N13" s="7" t="s">
        <v>95</v>
      </c>
      <c r="O13" s="6"/>
      <c r="P13" s="6"/>
      <c r="Q13" s="6"/>
      <c r="R13" s="6"/>
      <c r="S13" s="6"/>
      <c r="T13" s="6"/>
    </row>
    <row r="14" spans="1:20" customFormat="1" ht="121.5" x14ac:dyDescent="0.35">
      <c r="A14" s="7" t="s">
        <v>95</v>
      </c>
      <c r="C14" s="23" t="s">
        <v>132</v>
      </c>
      <c r="D14" s="23" t="s">
        <v>143</v>
      </c>
      <c r="E14" t="s">
        <v>166</v>
      </c>
      <c r="F14" s="23" t="s">
        <v>170</v>
      </c>
      <c r="N14" s="23" t="s">
        <v>119</v>
      </c>
      <c r="O14" s="24" t="s">
        <v>96</v>
      </c>
      <c r="P14" s="6"/>
      <c r="Q14" s="6"/>
      <c r="R14" s="6"/>
      <c r="S14" s="6"/>
      <c r="T14" s="6"/>
    </row>
    <row r="15" spans="1:20" customFormat="1" ht="31.5" x14ac:dyDescent="0.35">
      <c r="A15" s="24" t="s">
        <v>96</v>
      </c>
      <c r="E15" t="s">
        <v>165</v>
      </c>
      <c r="F15" s="23" t="s">
        <v>171</v>
      </c>
      <c r="N15" s="5"/>
      <c r="O15" s="23" t="s">
        <v>152</v>
      </c>
      <c r="P15" s="24" t="s">
        <v>97</v>
      </c>
      <c r="Q15" s="6"/>
      <c r="R15" s="6"/>
      <c r="S15" s="6"/>
      <c r="T15" s="6"/>
    </row>
    <row r="16" spans="1:20" customFormat="1" ht="76.5" x14ac:dyDescent="0.35">
      <c r="A16" s="24" t="s">
        <v>97</v>
      </c>
      <c r="D16" s="23" t="s">
        <v>148</v>
      </c>
      <c r="F16" s="23" t="s">
        <v>172</v>
      </c>
      <c r="P16" s="23" t="s">
        <v>120</v>
      </c>
      <c r="Q16" s="7" t="s">
        <v>98</v>
      </c>
      <c r="R16" s="6"/>
      <c r="S16" s="6"/>
      <c r="T16" s="6"/>
    </row>
    <row r="17" spans="1:20" customFormat="1" ht="76.5" x14ac:dyDescent="0.35">
      <c r="A17" s="7" t="s">
        <v>98</v>
      </c>
      <c r="C17" s="23" t="s">
        <v>133</v>
      </c>
      <c r="D17" t="s">
        <v>144</v>
      </c>
      <c r="Q17" s="23" t="s">
        <v>116</v>
      </c>
      <c r="R17" s="24" t="s">
        <v>99</v>
      </c>
      <c r="S17" s="6"/>
      <c r="T17" s="6"/>
    </row>
    <row r="18" spans="1:20" customFormat="1" ht="151.5" x14ac:dyDescent="0.35">
      <c r="A18" s="24" t="s">
        <v>99</v>
      </c>
      <c r="C18" s="23" t="s">
        <v>128</v>
      </c>
      <c r="D18" s="23" t="s">
        <v>145</v>
      </c>
      <c r="F18" s="23" t="s">
        <v>173</v>
      </c>
      <c r="R18" s="23" t="s">
        <v>117</v>
      </c>
      <c r="S18" s="24" t="s">
        <v>102</v>
      </c>
      <c r="T18" s="6"/>
    </row>
    <row r="19" spans="1:20" customFormat="1" ht="226.5" x14ac:dyDescent="0.35">
      <c r="A19" s="24" t="s">
        <v>102</v>
      </c>
      <c r="C19" s="23" t="s">
        <v>130</v>
      </c>
      <c r="D19" t="s">
        <v>146</v>
      </c>
      <c r="E19" s="23" t="s">
        <v>154</v>
      </c>
      <c r="F19" s="23" t="s">
        <v>155</v>
      </c>
      <c r="G19" s="5"/>
      <c r="H19" s="23" t="s">
        <v>157</v>
      </c>
      <c r="I19" s="23" t="s">
        <v>158</v>
      </c>
      <c r="J19" s="23" t="s">
        <v>159</v>
      </c>
      <c r="K19" s="23" t="s">
        <v>160</v>
      </c>
      <c r="L19" s="23" t="s">
        <v>161</v>
      </c>
      <c r="O19" s="23" t="s">
        <v>163</v>
      </c>
      <c r="P19" s="23" t="s">
        <v>164</v>
      </c>
      <c r="R19" s="23" t="s">
        <v>162</v>
      </c>
      <c r="S19" s="23" t="s">
        <v>174</v>
      </c>
      <c r="T19" s="7" t="s">
        <v>103</v>
      </c>
    </row>
    <row r="20" spans="1:20" customFormat="1" ht="136.5" x14ac:dyDescent="0.35">
      <c r="A20" s="7" t="s">
        <v>103</v>
      </c>
      <c r="C20" s="23" t="s">
        <v>134</v>
      </c>
      <c r="D20" s="23" t="s">
        <v>147</v>
      </c>
      <c r="E20" t="s">
        <v>169</v>
      </c>
      <c r="T20" s="27" t="s">
        <v>153</v>
      </c>
    </row>
  </sheetData>
  <pageMargins left="0.7" right="0.7" top="0.75" bottom="0.75" header="0.3" footer="0.3"/>
  <pageSetup paperSize="11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C99031-6639-4771-942D-EA33F1759884}">
  <sheetPr codeName="Sheet3"/>
  <dimension ref="B2:J11"/>
  <sheetViews>
    <sheetView workbookViewId="0">
      <selection activeCell="A7" sqref="A7"/>
    </sheetView>
  </sheetViews>
  <sheetFormatPr defaultRowHeight="15" x14ac:dyDescent="0.25"/>
  <cols>
    <col min="1" max="2" width="32" bestFit="1" customWidth="1"/>
    <col min="6" max="6" width="9" bestFit="1" customWidth="1"/>
    <col min="7" max="7" width="37.140625" bestFit="1" customWidth="1"/>
  </cols>
  <sheetData>
    <row r="2" spans="2:10" x14ac:dyDescent="0.25">
      <c r="B2" s="5"/>
      <c r="C2" s="8" t="s">
        <v>66</v>
      </c>
      <c r="D2" s="8" t="s">
        <v>67</v>
      </c>
      <c r="E2" s="8" t="s">
        <v>68</v>
      </c>
      <c r="F2" s="8" t="s">
        <v>69</v>
      </c>
      <c r="G2" s="5"/>
      <c r="J2">
        <f t="shared" ref="J2:J10" si="0">SUM(C3:F3)</f>
        <v>1.54</v>
      </c>
    </row>
    <row r="3" spans="2:10" x14ac:dyDescent="0.25">
      <c r="B3" s="8" t="s">
        <v>65</v>
      </c>
      <c r="C3" s="5">
        <v>0.52</v>
      </c>
      <c r="D3" s="5">
        <v>0.08</v>
      </c>
      <c r="E3" s="5">
        <v>0.13</v>
      </c>
      <c r="F3" s="5">
        <v>0.81</v>
      </c>
      <c r="G3" s="5" t="s">
        <v>82</v>
      </c>
      <c r="J3">
        <f t="shared" si="0"/>
        <v>2.04</v>
      </c>
    </row>
    <row r="4" spans="2:10" x14ac:dyDescent="0.25">
      <c r="B4" s="20" t="s">
        <v>71</v>
      </c>
      <c r="C4" s="19">
        <v>0.32</v>
      </c>
      <c r="D4" s="19">
        <v>0.64</v>
      </c>
      <c r="E4" s="19">
        <v>0.42</v>
      </c>
      <c r="F4" s="5">
        <v>0.66</v>
      </c>
      <c r="G4" s="5" t="s">
        <v>81</v>
      </c>
      <c r="J4">
        <f t="shared" si="0"/>
        <v>2.0299999999999998</v>
      </c>
    </row>
    <row r="5" spans="2:10" x14ac:dyDescent="0.25">
      <c r="B5" s="20" t="s">
        <v>73</v>
      </c>
      <c r="C5" s="19">
        <v>0.31</v>
      </c>
      <c r="D5" s="19">
        <v>0.65</v>
      </c>
      <c r="E5" s="19">
        <v>0.42</v>
      </c>
      <c r="F5" s="5">
        <v>0.65</v>
      </c>
      <c r="G5" s="5" t="s">
        <v>81</v>
      </c>
      <c r="J5">
        <f t="shared" si="0"/>
        <v>2.0299999999999998</v>
      </c>
    </row>
    <row r="6" spans="2:10" x14ac:dyDescent="0.25">
      <c r="B6" s="20" t="s">
        <v>72</v>
      </c>
      <c r="C6" s="19">
        <v>0.32</v>
      </c>
      <c r="D6" s="19">
        <v>0.63</v>
      </c>
      <c r="E6" s="19">
        <v>0.42</v>
      </c>
      <c r="F6" s="5">
        <v>0.66</v>
      </c>
      <c r="G6" s="5" t="s">
        <v>81</v>
      </c>
      <c r="J6">
        <f t="shared" si="0"/>
        <v>1.01</v>
      </c>
    </row>
    <row r="7" spans="2:10" x14ac:dyDescent="0.25">
      <c r="B7" s="8" t="s">
        <v>74</v>
      </c>
      <c r="C7" s="5">
        <v>0.12</v>
      </c>
      <c r="D7" s="5">
        <v>0.38</v>
      </c>
      <c r="E7" s="5">
        <v>0.18</v>
      </c>
      <c r="F7" s="5">
        <v>0.33</v>
      </c>
      <c r="G7" s="5" t="s">
        <v>76</v>
      </c>
      <c r="J7">
        <f t="shared" si="0"/>
        <v>0.82000000000000006</v>
      </c>
    </row>
    <row r="8" spans="2:10" x14ac:dyDescent="0.25">
      <c r="B8" s="8" t="s">
        <v>75</v>
      </c>
      <c r="C8" s="5">
        <v>0.04</v>
      </c>
      <c r="D8" s="5">
        <v>0.01</v>
      </c>
      <c r="E8" s="5">
        <v>0.02</v>
      </c>
      <c r="F8" s="5">
        <v>0.75</v>
      </c>
      <c r="G8" s="5" t="s">
        <v>77</v>
      </c>
      <c r="J8">
        <f t="shared" si="0"/>
        <v>1.5100000000000002</v>
      </c>
    </row>
    <row r="9" spans="2:10" x14ac:dyDescent="0.25">
      <c r="B9" s="8" t="s">
        <v>78</v>
      </c>
      <c r="C9" s="5">
        <v>0.53</v>
      </c>
      <c r="D9" s="5">
        <v>0.06</v>
      </c>
      <c r="E9" s="5">
        <v>0.11</v>
      </c>
      <c r="F9" s="5">
        <v>0.81</v>
      </c>
      <c r="G9" s="5" t="s">
        <v>79</v>
      </c>
      <c r="J9">
        <f t="shared" si="0"/>
        <v>1.54</v>
      </c>
    </row>
    <row r="10" spans="2:10" x14ac:dyDescent="0.25">
      <c r="B10" s="8" t="s">
        <v>70</v>
      </c>
      <c r="C10" s="5">
        <v>0.52</v>
      </c>
      <c r="D10" s="5">
        <v>0.08</v>
      </c>
      <c r="E10" s="5">
        <v>0.13</v>
      </c>
      <c r="F10" s="5">
        <v>0.81</v>
      </c>
      <c r="G10" s="5"/>
      <c r="J10">
        <f t="shared" si="0"/>
        <v>2.0299999999999998</v>
      </c>
    </row>
    <row r="11" spans="2:10" x14ac:dyDescent="0.25">
      <c r="B11" s="8" t="s">
        <v>80</v>
      </c>
      <c r="C11" s="5">
        <v>0.31</v>
      </c>
      <c r="D11" s="5">
        <v>0.64</v>
      </c>
      <c r="E11" s="5">
        <v>0.42</v>
      </c>
      <c r="F11" s="5">
        <v>0.66</v>
      </c>
      <c r="G11" s="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A8D22-FA19-460E-BB74-A5B1B48B60CB}">
  <sheetPr codeName="Sheet4"/>
  <dimension ref="A1:L34"/>
  <sheetViews>
    <sheetView topLeftCell="A10" workbookViewId="0">
      <selection activeCell="A27" sqref="A27"/>
    </sheetView>
  </sheetViews>
  <sheetFormatPr defaultRowHeight="15" x14ac:dyDescent="0.25"/>
  <cols>
    <col min="1" max="1" width="18.7109375" customWidth="1"/>
    <col min="2" max="2" width="13.5703125" customWidth="1"/>
    <col min="3" max="7" width="13" customWidth="1"/>
    <col min="8" max="8" width="42.28515625" customWidth="1"/>
    <col min="9" max="9" width="50.5703125" bestFit="1" customWidth="1"/>
    <col min="12" max="12" width="10.140625" bestFit="1" customWidth="1"/>
  </cols>
  <sheetData>
    <row r="1" spans="1:12" x14ac:dyDescent="0.25">
      <c r="K1" t="s">
        <v>37</v>
      </c>
      <c r="L1" s="10">
        <v>396030</v>
      </c>
    </row>
    <row r="2" spans="1:12" x14ac:dyDescent="0.25">
      <c r="D2" t="s">
        <v>59</v>
      </c>
      <c r="E2" t="s">
        <v>60</v>
      </c>
      <c r="F2" t="s">
        <v>61</v>
      </c>
      <c r="G2" t="s">
        <v>47</v>
      </c>
      <c r="H2" s="8" t="s">
        <v>50</v>
      </c>
      <c r="I2" s="8" t="s">
        <v>44</v>
      </c>
    </row>
    <row r="3" spans="1:12" x14ac:dyDescent="0.25">
      <c r="A3" s="8" t="s">
        <v>35</v>
      </c>
      <c r="B3" s="5"/>
      <c r="C3" s="5"/>
      <c r="D3" s="5"/>
      <c r="E3" s="5"/>
      <c r="F3" s="5"/>
      <c r="G3" s="5"/>
      <c r="H3" s="5"/>
      <c r="I3" s="5"/>
    </row>
    <row r="4" spans="1:12" x14ac:dyDescent="0.25">
      <c r="A4" s="9" t="s">
        <v>3</v>
      </c>
      <c r="B4" s="5"/>
      <c r="C4" s="5"/>
      <c r="D4" s="5"/>
      <c r="E4" s="5"/>
      <c r="F4" s="5" t="s">
        <v>62</v>
      </c>
      <c r="G4" s="5"/>
      <c r="H4" s="5" t="s">
        <v>32</v>
      </c>
      <c r="I4" s="5"/>
    </row>
    <row r="5" spans="1:12" x14ac:dyDescent="0.25">
      <c r="A5" s="9" t="s">
        <v>6</v>
      </c>
      <c r="B5" s="5"/>
      <c r="C5" s="5"/>
      <c r="D5" s="5"/>
      <c r="E5" s="5"/>
      <c r="F5" s="5" t="s">
        <v>62</v>
      </c>
      <c r="G5" s="5"/>
      <c r="H5" s="5" t="s">
        <v>32</v>
      </c>
      <c r="I5" s="5"/>
    </row>
    <row r="6" spans="1:12" x14ac:dyDescent="0.25">
      <c r="A6" s="9" t="s">
        <v>7</v>
      </c>
      <c r="B6" s="5"/>
      <c r="C6" s="5"/>
      <c r="D6" s="5"/>
      <c r="E6" s="5"/>
      <c r="F6" s="5" t="s">
        <v>62</v>
      </c>
      <c r="G6" s="5"/>
      <c r="H6" s="5" t="s">
        <v>32</v>
      </c>
      <c r="I6" s="5"/>
    </row>
    <row r="7" spans="1:12" x14ac:dyDescent="0.25">
      <c r="A7" s="9" t="s">
        <v>13</v>
      </c>
      <c r="B7" s="5"/>
      <c r="C7" s="5"/>
      <c r="D7" s="5"/>
      <c r="E7" s="5"/>
      <c r="F7" s="5" t="s">
        <v>63</v>
      </c>
      <c r="G7" s="5"/>
      <c r="H7" s="5" t="s">
        <v>58</v>
      </c>
      <c r="I7" s="5"/>
    </row>
    <row r="8" spans="1:12" x14ac:dyDescent="0.25">
      <c r="A8" s="9" t="s">
        <v>15</v>
      </c>
      <c r="B8" s="5"/>
      <c r="C8" s="5"/>
      <c r="D8" s="5"/>
      <c r="E8" s="5"/>
      <c r="F8" s="5" t="s">
        <v>63</v>
      </c>
      <c r="G8" s="5"/>
      <c r="H8" s="5" t="s">
        <v>33</v>
      </c>
      <c r="I8" s="5"/>
    </row>
    <row r="9" spans="1:12" x14ac:dyDescent="0.25">
      <c r="A9" s="9" t="s">
        <v>8</v>
      </c>
      <c r="B9" s="5"/>
      <c r="C9" s="5"/>
      <c r="D9" s="5"/>
      <c r="E9" s="5"/>
      <c r="F9" s="5" t="s">
        <v>62</v>
      </c>
      <c r="G9" s="5"/>
      <c r="H9" s="5" t="s">
        <v>56</v>
      </c>
      <c r="I9" s="5"/>
    </row>
    <row r="10" spans="1:12" x14ac:dyDescent="0.25">
      <c r="A10" s="9" t="s">
        <v>9</v>
      </c>
      <c r="B10" s="5"/>
      <c r="C10" s="5"/>
      <c r="D10" s="5"/>
      <c r="E10" s="5"/>
      <c r="F10" s="5"/>
      <c r="G10" s="5"/>
      <c r="H10" s="5" t="s">
        <v>42</v>
      </c>
    </row>
    <row r="11" spans="1:12" x14ac:dyDescent="0.25">
      <c r="A11" s="9" t="s">
        <v>12</v>
      </c>
      <c r="B11" s="5"/>
      <c r="C11" s="5"/>
      <c r="D11" s="5"/>
      <c r="E11" s="5"/>
      <c r="F11" s="5" t="s">
        <v>62</v>
      </c>
      <c r="G11" s="5"/>
      <c r="H11" s="5" t="s">
        <v>57</v>
      </c>
      <c r="I11" s="5"/>
    </row>
    <row r="12" spans="1:12" x14ac:dyDescent="0.25">
      <c r="A12" s="9" t="s">
        <v>10</v>
      </c>
      <c r="B12" s="5"/>
      <c r="C12" s="5"/>
      <c r="D12" s="5"/>
      <c r="E12" s="5"/>
      <c r="F12" s="5"/>
      <c r="G12" s="5"/>
      <c r="H12" s="5" t="s">
        <v>41</v>
      </c>
      <c r="I12" s="5" t="s">
        <v>45</v>
      </c>
    </row>
    <row r="13" spans="1:12" x14ac:dyDescent="0.25">
      <c r="A13" s="9" t="s">
        <v>11</v>
      </c>
      <c r="B13" s="5"/>
      <c r="C13" s="5"/>
      <c r="D13" s="5"/>
      <c r="E13" s="5"/>
      <c r="F13" s="5"/>
      <c r="G13" s="5"/>
      <c r="H13" s="5" t="s">
        <v>42</v>
      </c>
      <c r="I13" s="5"/>
    </row>
    <row r="14" spans="1:12" x14ac:dyDescent="0.25">
      <c r="A14" s="9" t="s">
        <v>24</v>
      </c>
      <c r="B14" s="5"/>
      <c r="C14" s="5"/>
      <c r="D14" s="5"/>
      <c r="E14" s="5"/>
      <c r="F14" s="5" t="s">
        <v>63</v>
      </c>
      <c r="G14" s="5"/>
      <c r="H14" s="5" t="s">
        <v>33</v>
      </c>
      <c r="I14" s="5"/>
    </row>
    <row r="15" spans="1:12" x14ac:dyDescent="0.25">
      <c r="A15" s="9" t="s">
        <v>27</v>
      </c>
      <c r="B15" s="5"/>
      <c r="C15" s="5"/>
      <c r="D15" s="5"/>
      <c r="E15" s="5"/>
      <c r="F15" s="5"/>
      <c r="G15" s="5"/>
      <c r="H15" s="5" t="s">
        <v>41</v>
      </c>
      <c r="I15" s="5" t="s">
        <v>34</v>
      </c>
    </row>
    <row r="16" spans="1:12" x14ac:dyDescent="0.25">
      <c r="A16" s="9" t="s">
        <v>30</v>
      </c>
      <c r="B16" s="5"/>
      <c r="C16" s="5"/>
      <c r="D16" s="5"/>
      <c r="E16" s="5"/>
      <c r="F16" s="5" t="s">
        <v>63</v>
      </c>
      <c r="G16" s="5"/>
      <c r="H16" s="5" t="s">
        <v>53</v>
      </c>
      <c r="I16" s="5"/>
    </row>
    <row r="17" spans="1:9" x14ac:dyDescent="0.25">
      <c r="A17" s="14" t="s">
        <v>18</v>
      </c>
      <c r="B17" s="5"/>
      <c r="C17" s="5"/>
      <c r="D17" s="5"/>
      <c r="E17" s="5"/>
      <c r="F17" s="5" t="s">
        <v>63</v>
      </c>
      <c r="G17" s="5"/>
      <c r="H17" s="5" t="s">
        <v>64</v>
      </c>
      <c r="I17" s="5"/>
    </row>
    <row r="18" spans="1:9" x14ac:dyDescent="0.25">
      <c r="A18" s="13" t="s">
        <v>36</v>
      </c>
      <c r="B18" s="17" t="s">
        <v>48</v>
      </c>
      <c r="C18" s="18" t="s">
        <v>49</v>
      </c>
      <c r="D18" s="16"/>
      <c r="E18" s="16"/>
      <c r="F18" s="16"/>
      <c r="G18" s="16"/>
      <c r="H18" s="11"/>
      <c r="I18" s="11"/>
    </row>
    <row r="19" spans="1:9" x14ac:dyDescent="0.25">
      <c r="A19" s="5" t="s">
        <v>2</v>
      </c>
      <c r="B19" s="5">
        <v>4.8228669545236469E-2</v>
      </c>
      <c r="C19" s="5">
        <v>191</v>
      </c>
      <c r="D19" s="5"/>
      <c r="E19" s="5"/>
      <c r="F19" s="5"/>
      <c r="G19" s="5"/>
      <c r="H19" s="5" t="s">
        <v>46</v>
      </c>
      <c r="I19" s="5"/>
    </row>
    <row r="20" spans="1:9" x14ac:dyDescent="0.25">
      <c r="A20" s="5" t="s">
        <v>4</v>
      </c>
      <c r="B20" s="5">
        <v>0.95371562760396944</v>
      </c>
      <c r="C20" s="5">
        <v>3777</v>
      </c>
      <c r="D20" s="5"/>
      <c r="E20" s="5"/>
      <c r="F20" s="5"/>
      <c r="G20" s="5"/>
      <c r="H20" s="5" t="s">
        <v>46</v>
      </c>
      <c r="I20" s="5"/>
    </row>
    <row r="21" spans="1:9" x14ac:dyDescent="0.25">
      <c r="A21" s="5" t="s">
        <v>5</v>
      </c>
      <c r="B21" s="5">
        <v>2.8406938868267555</v>
      </c>
      <c r="C21" s="5">
        <v>11250</v>
      </c>
      <c r="D21" s="5"/>
      <c r="E21" s="5"/>
      <c r="F21" s="5"/>
      <c r="G21" s="5"/>
      <c r="H21" s="5" t="s">
        <v>46</v>
      </c>
      <c r="I21" s="5"/>
    </row>
    <row r="22" spans="1:9" x14ac:dyDescent="0.25">
      <c r="A22" s="15" t="s">
        <v>14</v>
      </c>
      <c r="B22" s="5">
        <v>0</v>
      </c>
      <c r="C22" s="5">
        <v>0</v>
      </c>
      <c r="D22" s="5"/>
      <c r="E22" s="5"/>
      <c r="F22" s="5"/>
      <c r="G22" s="5"/>
      <c r="H22" s="5" t="s">
        <v>42</v>
      </c>
      <c r="I22" s="5"/>
    </row>
    <row r="23" spans="1:9" x14ac:dyDescent="0.25">
      <c r="A23" s="5" t="s">
        <v>16</v>
      </c>
      <c r="B23" s="5">
        <v>4.2168522586672728</v>
      </c>
      <c r="C23" s="5">
        <v>16700</v>
      </c>
      <c r="D23" s="5"/>
      <c r="E23" s="5"/>
      <c r="F23" s="5"/>
      <c r="G23" s="5"/>
      <c r="H23" s="5" t="s">
        <v>46</v>
      </c>
      <c r="I23" s="5"/>
    </row>
    <row r="24" spans="1:9" x14ac:dyDescent="0.25">
      <c r="A24" s="5" t="s">
        <v>17</v>
      </c>
      <c r="B24" s="5">
        <v>6.9439183900209575E-2</v>
      </c>
      <c r="C24" s="5">
        <v>275</v>
      </c>
      <c r="D24" s="5"/>
      <c r="E24" s="5"/>
      <c r="F24" s="5"/>
      <c r="G24" s="5"/>
      <c r="H24" s="5" t="s">
        <v>46</v>
      </c>
      <c r="I24" s="5"/>
    </row>
    <row r="25" spans="1:9" x14ac:dyDescent="0.25">
      <c r="A25" s="5" t="s">
        <v>29</v>
      </c>
      <c r="B25" s="5">
        <v>3.2664192106658585</v>
      </c>
      <c r="C25" s="5">
        <v>12936</v>
      </c>
      <c r="D25" s="5"/>
      <c r="E25" s="5"/>
      <c r="F25" s="5"/>
      <c r="G25" s="5"/>
      <c r="H25" s="5" t="s">
        <v>46</v>
      </c>
      <c r="I25" s="5" t="s">
        <v>43</v>
      </c>
    </row>
    <row r="26" spans="1:9" x14ac:dyDescent="0.25">
      <c r="A26" s="5" t="s">
        <v>20</v>
      </c>
      <c r="B26" s="5">
        <v>2.602580612579855</v>
      </c>
      <c r="C26" s="5">
        <v>10307</v>
      </c>
      <c r="D26" s="5"/>
      <c r="E26" s="5"/>
      <c r="F26" s="5"/>
      <c r="G26" s="5"/>
      <c r="H26" s="5" t="s">
        <v>46</v>
      </c>
      <c r="I26" s="5"/>
    </row>
    <row r="27" spans="1:9" x14ac:dyDescent="0.25">
      <c r="A27" s="5" t="s">
        <v>25</v>
      </c>
      <c r="B27" s="5">
        <v>14.584248668030201</v>
      </c>
      <c r="C27" s="5">
        <v>57758</v>
      </c>
      <c r="D27" s="5"/>
      <c r="E27" s="5"/>
      <c r="F27" s="5"/>
      <c r="G27" s="5"/>
      <c r="H27" s="5" t="s">
        <v>42</v>
      </c>
      <c r="I27" s="5" t="s">
        <v>39</v>
      </c>
    </row>
    <row r="28" spans="1:9" x14ac:dyDescent="0.25">
      <c r="A28" s="5" t="s">
        <v>22</v>
      </c>
      <c r="B28" s="5">
        <v>0</v>
      </c>
      <c r="C28" s="5"/>
      <c r="D28" s="5"/>
      <c r="E28" s="5"/>
      <c r="F28" s="5"/>
      <c r="G28" s="5"/>
      <c r="H28" s="5" t="s">
        <v>46</v>
      </c>
      <c r="I28" s="5" t="s">
        <v>52</v>
      </c>
    </row>
    <row r="29" spans="1:9" x14ac:dyDescent="0.25">
      <c r="A29" s="5" t="s">
        <v>23</v>
      </c>
      <c r="B29" s="5">
        <v>0</v>
      </c>
      <c r="C29" s="5"/>
      <c r="D29" s="5"/>
      <c r="E29" s="5"/>
      <c r="F29" s="5"/>
      <c r="G29" s="5"/>
      <c r="H29" s="5" t="s">
        <v>46</v>
      </c>
      <c r="I29" s="5" t="s">
        <v>52</v>
      </c>
    </row>
    <row r="30" spans="1:9" x14ac:dyDescent="0.25">
      <c r="A30" s="5" t="s">
        <v>19</v>
      </c>
      <c r="B30" s="5">
        <v>1.6410372951544074</v>
      </c>
      <c r="C30" s="5">
        <v>6499</v>
      </c>
      <c r="D30" s="5"/>
      <c r="E30" s="5"/>
      <c r="F30" s="5"/>
      <c r="G30" s="5"/>
      <c r="H30" s="5" t="s">
        <v>46</v>
      </c>
      <c r="I30" s="5"/>
    </row>
    <row r="31" spans="1:9" x14ac:dyDescent="0.25">
      <c r="A31" s="5" t="s">
        <v>21</v>
      </c>
      <c r="B31" s="5">
        <v>1.7278994015604878</v>
      </c>
      <c r="C31" s="5">
        <v>6843</v>
      </c>
      <c r="D31" s="5"/>
      <c r="E31" s="5"/>
      <c r="F31" s="5"/>
      <c r="G31" s="5"/>
      <c r="H31" s="5" t="s">
        <v>46</v>
      </c>
      <c r="I31" s="5"/>
    </row>
    <row r="32" spans="1:9" x14ac:dyDescent="0.25">
      <c r="A32" s="5" t="s">
        <v>26</v>
      </c>
      <c r="B32" s="5">
        <v>11.391813751483474</v>
      </c>
      <c r="C32" s="5">
        <v>45115</v>
      </c>
      <c r="D32" s="5"/>
      <c r="E32" s="5"/>
      <c r="F32" s="5"/>
      <c r="G32" s="5"/>
      <c r="H32" s="5" t="s">
        <v>42</v>
      </c>
      <c r="I32" s="5" t="s">
        <v>40</v>
      </c>
    </row>
    <row r="33" spans="1:9" x14ac:dyDescent="0.25">
      <c r="A33" s="14" t="s">
        <v>31</v>
      </c>
      <c r="B33" s="5">
        <v>3.5641239300053025</v>
      </c>
      <c r="C33" s="5">
        <v>14115</v>
      </c>
      <c r="D33" s="5"/>
      <c r="E33" s="5"/>
      <c r="F33" s="5"/>
      <c r="G33" s="5"/>
      <c r="H33" s="5" t="s">
        <v>54</v>
      </c>
      <c r="I33" s="12" t="s">
        <v>51</v>
      </c>
    </row>
    <row r="34" spans="1:9" x14ac:dyDescent="0.25">
      <c r="A34" s="14" t="s">
        <v>28</v>
      </c>
      <c r="B34" s="5">
        <f>C34*100/L1</f>
        <v>25.118551624876904</v>
      </c>
      <c r="C34" s="5">
        <v>99477</v>
      </c>
      <c r="D34" s="5"/>
      <c r="E34" s="5"/>
      <c r="F34" s="5"/>
      <c r="G34" s="5"/>
      <c r="H34" s="5" t="s">
        <v>55</v>
      </c>
      <c r="I34" s="8" t="s">
        <v>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96DCD-9254-4865-BD5B-A0563740FEEA}">
  <sheetPr codeName="Sheet2"/>
  <dimension ref="A1:W22"/>
  <sheetViews>
    <sheetView zoomScale="70" zoomScaleNormal="70" workbookViewId="0">
      <selection sqref="A1:XFD22"/>
    </sheetView>
  </sheetViews>
  <sheetFormatPr defaultRowHeight="15" x14ac:dyDescent="0.25"/>
  <cols>
    <col min="1" max="1" width="39.7109375" bestFit="1" customWidth="1"/>
    <col min="2" max="2" width="18.5703125" bestFit="1" customWidth="1"/>
    <col min="3" max="3" width="7.28515625" bestFit="1" customWidth="1"/>
    <col min="4" max="4" width="12.85546875" bestFit="1" customWidth="1"/>
    <col min="6" max="6" width="30" bestFit="1" customWidth="1"/>
    <col min="7" max="7" width="26.28515625" bestFit="1" customWidth="1"/>
    <col min="8" max="8" width="30" bestFit="1" customWidth="1"/>
    <col min="9" max="9" width="37.7109375" bestFit="1" customWidth="1"/>
    <col min="10" max="10" width="11" bestFit="1" customWidth="1"/>
    <col min="11" max="11" width="39.7109375" bestFit="1" customWidth="1"/>
    <col min="12" max="12" width="32" bestFit="1" customWidth="1"/>
    <col min="13" max="14" width="20.42578125" bestFit="1" customWidth="1"/>
    <col min="15" max="15" width="30" bestFit="1" customWidth="1"/>
    <col min="16" max="16" width="28.140625" bestFit="1" customWidth="1"/>
    <col min="17" max="17" width="20.42578125" bestFit="1" customWidth="1"/>
    <col min="18" max="18" width="22.42578125" bestFit="1" customWidth="1"/>
    <col min="19" max="19" width="30" bestFit="1" customWidth="1"/>
    <col min="20" max="20" width="14.7109375" bestFit="1" customWidth="1"/>
    <col min="21" max="21" width="11" bestFit="1" customWidth="1"/>
    <col min="22" max="22" width="26.28515625" bestFit="1" customWidth="1"/>
  </cols>
  <sheetData>
    <row r="1" spans="1:22" ht="23.25" x14ac:dyDescent="0.35">
      <c r="B1" s="7" t="s">
        <v>83</v>
      </c>
      <c r="C1" s="22" t="s">
        <v>84</v>
      </c>
      <c r="D1" s="22" t="s">
        <v>85</v>
      </c>
      <c r="E1" s="22" t="s">
        <v>86</v>
      </c>
      <c r="F1" s="22" t="s">
        <v>87</v>
      </c>
      <c r="G1" s="22" t="s">
        <v>88</v>
      </c>
      <c r="H1" s="22" t="s">
        <v>89</v>
      </c>
      <c r="I1" s="22" t="s">
        <v>90</v>
      </c>
      <c r="J1" s="22" t="s">
        <v>91</v>
      </c>
      <c r="K1" s="22" t="s">
        <v>92</v>
      </c>
      <c r="L1" s="22" t="s">
        <v>93</v>
      </c>
      <c r="M1" s="22" t="s">
        <v>94</v>
      </c>
      <c r="N1" s="22" t="s">
        <v>95</v>
      </c>
      <c r="O1" s="22" t="s">
        <v>96</v>
      </c>
      <c r="P1" s="22" t="s">
        <v>97</v>
      </c>
      <c r="Q1" s="22" t="s">
        <v>98</v>
      </c>
      <c r="R1" s="22" t="s">
        <v>99</v>
      </c>
      <c r="S1" s="22" t="s">
        <v>100</v>
      </c>
      <c r="T1" s="22" t="s">
        <v>101</v>
      </c>
      <c r="U1" s="22" t="s">
        <v>102</v>
      </c>
      <c r="V1" s="22" t="s">
        <v>103</v>
      </c>
    </row>
    <row r="2" spans="1:22" ht="23.25" x14ac:dyDescent="0.35">
      <c r="A2" s="7" t="s">
        <v>83</v>
      </c>
      <c r="C2" s="7" t="s">
        <v>84</v>
      </c>
      <c r="D2" s="6"/>
      <c r="E2" s="6"/>
      <c r="F2" s="6"/>
      <c r="G2" s="6"/>
      <c r="H2" s="6"/>
      <c r="I2" s="6"/>
      <c r="J2" s="6"/>
      <c r="K2" s="6"/>
      <c r="L2" s="6"/>
      <c r="M2" s="6"/>
      <c r="N2" s="6"/>
      <c r="O2" s="6"/>
      <c r="P2" s="6"/>
      <c r="Q2" s="6"/>
      <c r="R2" s="6"/>
      <c r="S2" s="6"/>
      <c r="T2" s="6"/>
      <c r="U2" s="6"/>
      <c r="V2" s="6"/>
    </row>
    <row r="3" spans="1:22" ht="23.25" x14ac:dyDescent="0.35">
      <c r="A3" s="7" t="s">
        <v>84</v>
      </c>
      <c r="D3" s="7" t="s">
        <v>85</v>
      </c>
      <c r="E3" s="6"/>
      <c r="F3" s="6"/>
      <c r="G3" s="6"/>
      <c r="H3" s="6"/>
      <c r="I3" s="6"/>
      <c r="J3" s="6"/>
      <c r="K3" s="6"/>
      <c r="L3" s="6"/>
      <c r="M3" s="6"/>
      <c r="N3" s="6"/>
      <c r="O3" s="6"/>
      <c r="P3" s="6"/>
      <c r="Q3" s="6"/>
      <c r="R3" s="6"/>
      <c r="S3" s="6"/>
      <c r="T3" s="6"/>
      <c r="U3" s="6"/>
      <c r="V3" s="6"/>
    </row>
    <row r="4" spans="1:22" ht="23.25" x14ac:dyDescent="0.35">
      <c r="A4" s="7" t="s">
        <v>85</v>
      </c>
      <c r="E4" s="7" t="s">
        <v>86</v>
      </c>
      <c r="F4" s="6"/>
      <c r="G4" s="6"/>
      <c r="H4" s="6"/>
      <c r="I4" s="6"/>
      <c r="J4" s="6"/>
      <c r="K4" s="6"/>
      <c r="L4" s="6"/>
      <c r="M4" s="6"/>
      <c r="N4" s="6"/>
      <c r="O4" s="6"/>
      <c r="P4" s="6"/>
      <c r="Q4" s="6"/>
      <c r="R4" s="6"/>
      <c r="S4" s="6"/>
      <c r="T4" s="6"/>
      <c r="U4" s="6"/>
      <c r="V4" s="6"/>
    </row>
    <row r="5" spans="1:22" ht="23.25" x14ac:dyDescent="0.35">
      <c r="A5" s="7" t="s">
        <v>86</v>
      </c>
      <c r="F5" s="7" t="s">
        <v>87</v>
      </c>
      <c r="G5" s="6"/>
      <c r="H5" s="6"/>
      <c r="I5" s="6"/>
      <c r="J5" s="6"/>
      <c r="K5" s="6"/>
      <c r="L5" s="6"/>
      <c r="M5" s="6"/>
      <c r="N5" s="6"/>
      <c r="O5" s="6"/>
      <c r="P5" s="6"/>
      <c r="Q5" s="6"/>
      <c r="R5" s="6"/>
      <c r="S5" s="6"/>
      <c r="T5" s="6"/>
      <c r="U5" s="6"/>
      <c r="V5" s="6"/>
    </row>
    <row r="6" spans="1:22" ht="23.25" x14ac:dyDescent="0.35">
      <c r="A6" s="7" t="s">
        <v>87</v>
      </c>
      <c r="G6" s="7" t="s">
        <v>88</v>
      </c>
      <c r="H6" s="6"/>
      <c r="I6" s="6"/>
      <c r="J6" s="6"/>
      <c r="K6" s="6"/>
      <c r="L6" s="6"/>
      <c r="M6" s="6"/>
      <c r="N6" s="6"/>
      <c r="O6" s="6"/>
      <c r="P6" s="6"/>
      <c r="Q6" s="6"/>
      <c r="R6" s="6"/>
      <c r="S6" s="6"/>
      <c r="T6" s="6"/>
      <c r="U6" s="6"/>
      <c r="V6" s="6"/>
    </row>
    <row r="7" spans="1:22" ht="23.25" x14ac:dyDescent="0.35">
      <c r="A7" s="7" t="s">
        <v>88</v>
      </c>
      <c r="H7" s="7" t="s">
        <v>89</v>
      </c>
      <c r="I7" s="6"/>
      <c r="J7" s="6"/>
      <c r="K7" s="6"/>
      <c r="L7" s="6"/>
      <c r="M7" s="6"/>
      <c r="N7" s="6"/>
      <c r="O7" s="6"/>
      <c r="P7" s="6"/>
      <c r="Q7" s="6"/>
      <c r="R7" s="6"/>
      <c r="S7" s="6"/>
      <c r="T7" s="6"/>
      <c r="U7" s="6"/>
      <c r="V7" s="6"/>
    </row>
    <row r="8" spans="1:22" ht="23.25" x14ac:dyDescent="0.35">
      <c r="A8" s="7" t="s">
        <v>89</v>
      </c>
      <c r="I8" s="7" t="s">
        <v>90</v>
      </c>
      <c r="J8" s="6"/>
      <c r="K8" s="6"/>
      <c r="L8" s="6"/>
      <c r="M8" s="6"/>
      <c r="N8" s="6"/>
      <c r="O8" s="6"/>
      <c r="P8" s="6"/>
      <c r="Q8" s="6"/>
      <c r="R8" s="6"/>
      <c r="S8" s="6"/>
      <c r="T8" s="6"/>
      <c r="U8" s="6"/>
      <c r="V8" s="6"/>
    </row>
    <row r="9" spans="1:22" ht="23.25" x14ac:dyDescent="0.35">
      <c r="A9" s="7" t="s">
        <v>90</v>
      </c>
      <c r="J9" s="7" t="s">
        <v>91</v>
      </c>
      <c r="K9" s="6"/>
      <c r="L9" s="6"/>
      <c r="M9" s="6"/>
      <c r="N9" s="6"/>
      <c r="O9" s="6"/>
      <c r="P9" s="6"/>
      <c r="Q9" s="6"/>
      <c r="R9" s="6"/>
      <c r="S9" s="6"/>
      <c r="T9" s="6"/>
      <c r="U9" s="6"/>
      <c r="V9" s="6"/>
    </row>
    <row r="10" spans="1:22" ht="23.25" x14ac:dyDescent="0.35">
      <c r="A10" s="7" t="s">
        <v>91</v>
      </c>
      <c r="K10" s="7" t="s">
        <v>92</v>
      </c>
      <c r="L10" s="6"/>
      <c r="M10" s="6"/>
      <c r="N10" s="6"/>
      <c r="O10" s="6"/>
      <c r="P10" s="6"/>
      <c r="Q10" s="6"/>
      <c r="R10" s="6"/>
      <c r="S10" s="6"/>
      <c r="T10" s="6"/>
      <c r="U10" s="6"/>
      <c r="V10" s="6"/>
    </row>
    <row r="11" spans="1:22" ht="23.25" x14ac:dyDescent="0.35">
      <c r="A11" s="7" t="s">
        <v>92</v>
      </c>
      <c r="L11" s="7" t="s">
        <v>93</v>
      </c>
      <c r="M11" s="6"/>
      <c r="N11" s="6"/>
      <c r="O11" s="6"/>
      <c r="P11" s="6"/>
      <c r="Q11" s="6"/>
      <c r="R11" s="6"/>
      <c r="S11" s="6"/>
      <c r="T11" s="6"/>
      <c r="U11" s="6"/>
      <c r="V11" s="6"/>
    </row>
    <row r="12" spans="1:22" ht="23.25" x14ac:dyDescent="0.35">
      <c r="A12" s="7" t="s">
        <v>93</v>
      </c>
      <c r="M12" s="7" t="s">
        <v>94</v>
      </c>
      <c r="N12" s="6"/>
      <c r="O12" s="6"/>
      <c r="P12" s="6"/>
      <c r="Q12" s="6"/>
      <c r="R12" s="6"/>
      <c r="S12" s="6"/>
      <c r="T12" s="6"/>
      <c r="U12" s="6"/>
      <c r="V12" s="6"/>
    </row>
    <row r="13" spans="1:22" ht="23.25" x14ac:dyDescent="0.35">
      <c r="A13" s="7" t="s">
        <v>94</v>
      </c>
      <c r="N13" s="7" t="s">
        <v>95</v>
      </c>
      <c r="O13" s="6"/>
      <c r="P13" s="6"/>
      <c r="Q13" s="6"/>
      <c r="R13" s="6"/>
      <c r="S13" s="6"/>
      <c r="T13" s="6"/>
      <c r="U13" s="6"/>
      <c r="V13" s="6"/>
    </row>
    <row r="14" spans="1:22" ht="23.25" x14ac:dyDescent="0.35">
      <c r="A14" s="7" t="s">
        <v>95</v>
      </c>
      <c r="O14" s="7" t="s">
        <v>96</v>
      </c>
      <c r="P14" s="6"/>
      <c r="Q14" s="6"/>
      <c r="R14" s="6"/>
      <c r="S14" s="6"/>
      <c r="T14" s="6"/>
      <c r="U14" s="6"/>
      <c r="V14" s="6"/>
    </row>
    <row r="15" spans="1:22" ht="23.25" x14ac:dyDescent="0.35">
      <c r="A15" s="7" t="s">
        <v>96</v>
      </c>
      <c r="P15" s="7" t="s">
        <v>97</v>
      </c>
      <c r="Q15" s="6"/>
      <c r="R15" s="6"/>
      <c r="S15" s="6"/>
      <c r="T15" s="6"/>
      <c r="U15" s="6"/>
      <c r="V15" s="6"/>
    </row>
    <row r="16" spans="1:22" ht="23.25" x14ac:dyDescent="0.35">
      <c r="A16" s="7" t="s">
        <v>97</v>
      </c>
      <c r="Q16" s="7" t="s">
        <v>98</v>
      </c>
      <c r="R16" s="6"/>
      <c r="S16" s="6"/>
      <c r="T16" s="6"/>
      <c r="U16" s="6"/>
      <c r="V16" s="6"/>
    </row>
    <row r="17" spans="1:23" ht="23.25" x14ac:dyDescent="0.35">
      <c r="A17" s="7" t="s">
        <v>98</v>
      </c>
      <c r="R17" s="7" t="s">
        <v>99</v>
      </c>
      <c r="S17" s="6"/>
      <c r="T17" s="6"/>
      <c r="U17" s="6"/>
      <c r="V17" s="6"/>
    </row>
    <row r="18" spans="1:23" ht="23.25" x14ac:dyDescent="0.35">
      <c r="A18" s="7" t="s">
        <v>99</v>
      </c>
      <c r="S18" s="7" t="s">
        <v>100</v>
      </c>
      <c r="T18" s="6"/>
      <c r="U18" s="6"/>
      <c r="V18" s="6"/>
    </row>
    <row r="19" spans="1:23" ht="23.25" x14ac:dyDescent="0.35">
      <c r="A19" s="7" t="s">
        <v>100</v>
      </c>
      <c r="T19" s="7" t="s">
        <v>101</v>
      </c>
      <c r="U19" s="6"/>
      <c r="V19" s="6"/>
    </row>
    <row r="20" spans="1:23" ht="23.25" x14ac:dyDescent="0.35">
      <c r="A20" s="7" t="s">
        <v>101</v>
      </c>
      <c r="U20" s="7" t="s">
        <v>102</v>
      </c>
      <c r="V20" s="6"/>
    </row>
    <row r="21" spans="1:23" ht="23.25" x14ac:dyDescent="0.35">
      <c r="A21" s="7" t="s">
        <v>102</v>
      </c>
      <c r="V21" s="7" t="s">
        <v>103</v>
      </c>
    </row>
    <row r="22" spans="1:23" ht="23.25" x14ac:dyDescent="0.35">
      <c r="A22" s="7" t="s">
        <v>103</v>
      </c>
      <c r="V22" s="6"/>
      <c r="W22" s="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GeneratorForHeadings</vt:lpstr>
      <vt:lpstr>AnalysisGrid</vt:lpstr>
      <vt:lpstr>ModelComparison</vt:lpstr>
      <vt:lpstr>PipelinePlanning</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Reyansh Gupta</dc:creator>
  <cp:lastModifiedBy>Reyansh Gupta</cp:lastModifiedBy>
  <cp:lastPrinted>2025-10-09T17:22:12Z</cp:lastPrinted>
  <dcterms:created xsi:type="dcterms:W3CDTF">2025-02-07T13:31:16Z</dcterms:created>
  <dcterms:modified xsi:type="dcterms:W3CDTF">2025-11-19T07:03:35Z</dcterms:modified>
</cp:coreProperties>
</file>